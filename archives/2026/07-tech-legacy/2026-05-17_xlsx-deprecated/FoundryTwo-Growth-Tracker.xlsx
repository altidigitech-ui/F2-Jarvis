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d Outreach" sheetId="1" state="visible" r:id="rId3"/>
    <sheet name="Engagement" sheetId="2" state="visible" r:id="rId4"/>
    <sheet name="Content Calendar" sheetId="3" state="visible" r:id="rId5"/>
    <sheet name="Weekly Review" sheetId="4" state="visible" r:id="rId6"/>
    <sheet name="Cross-Engagemen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<sst xmlns="http://schemas.openxmlformats.org/spreadsheetml/2006/main" count="224" uniqueCount="152">
  <si>
    <t xml:space="preserve">COLD OUTREACH TRACKER</t>
  </si>
  <si>
    <t xml:space="preserve">Objectif : 5 outreachs minimum/jour · Réponse publique d'abord · Chaque ligne = 1 cible</t>
  </si>
  <si>
    <t xml:space="preserve">Date</t>
  </si>
  <si>
    <t xml:space="preserve">Semaine</t>
  </si>
  <si>
    <t xml:space="preserve">Plateforme</t>
  </si>
  <si>
    <t xml:space="preserve">Cible (@handle)</t>
  </si>
  <si>
    <t xml:space="preserve">URL analysée</t>
  </si>
  <si>
    <t xml:space="preserve">Score /100</t>
  </si>
  <si>
    <t xml:space="preserve">Top 3 issues</t>
  </si>
  <si>
    <t xml:space="preserve">Lien du post/reply</t>
  </si>
  <si>
    <t xml:space="preserve">Template utilisé</t>
  </si>
  <si>
    <t xml:space="preserve">Réaction cible</t>
  </si>
  <si>
    <t xml:space="preserve">Conversion</t>
  </si>
  <si>
    <t xml:space="preserve">Twitter / Reddit / IH</t>
  </si>
  <si>
    <t xml:space="preserve">T1 / T2 / T3 / T4 / T5</t>
  </si>
  <si>
    <t xml:space="preserve">Rien / Like / Reply / Clic / Signup / RT</t>
  </si>
  <si>
    <t xml:space="preserve">Non / Free / Pro / Agency</t>
  </si>
  <si>
    <t xml:space="preserve">RÉSUMÉ HEBDOMADAIRE</t>
  </si>
  <si>
    <t xml:space="preserve">Total outreachs</t>
  </si>
  <si>
    <t xml:space="preserve">Taux de réaction (reply/like)</t>
  </si>
  <si>
    <t xml:space="preserve">Taux de clic</t>
  </si>
  <si>
    <t xml:space="preserve">Signups</t>
  </si>
  <si>
    <t xml:space="preserve">Clients payants</t>
  </si>
  <si>
    <t xml:space="preserve">MRR généré</t>
  </si>
  <si>
    <t xml:space="preserve">ENGAGEMENT TRACKER — R + F</t>
  </si>
  <si>
    <t xml:space="preserve">R : 10-15 replies/jour · F : 5 replies/jour · Chaque ligne = 1 engagement significatif (pas les simples likes)</t>
  </si>
  <si>
    <t xml:space="preserve">Qui (R/F)</t>
  </si>
  <si>
    <t xml:space="preserve">Compte utilisé</t>
  </si>
  <si>
    <t xml:space="preserve">Post original (@handle + sujet)</t>
  </si>
  <si>
    <t xml:space="preserve">Type (Reply/QRT/Thread)</t>
  </si>
  <si>
    <t xml:space="preserve">Texte de l'engagement</t>
  </si>
  <si>
    <t xml:space="preserve">Résultat (likes/replies reçus)</t>
  </si>
  <si>
    <t xml:space="preserve">Follow back?</t>
  </si>
  <si>
    <t xml:space="preserve">Notes / lead potentiel</t>
  </si>
  <si>
    <t xml:space="preserve">R / F</t>
  </si>
  <si>
    <t xml:space="preserve">@perso / @foundrytwo</t>
  </si>
  <si>
    <t xml:space="preserve">Reply / QRT / Thread reply</t>
  </si>
  <si>
    <t xml:space="preserve">KPIs ENGAGEMENT SEMAINE</t>
  </si>
  <si>
    <t xml:space="preserve">Total engagements R</t>
  </si>
  <si>
    <t xml:space="preserve">Total engagements F</t>
  </si>
  <si>
    <t xml:space="preserve">Replies reçues (total)</t>
  </si>
  <si>
    <t xml:space="preserve">Follow backs</t>
  </si>
  <si>
    <t xml:space="preserve">Leads identifiés</t>
  </si>
  <si>
    <t xml:space="preserve">CONTENT CALENDAR — F + R + F2</t>
  </si>
  <si>
    <t xml:space="preserve">Squelette F2 fixe (Lun=Metrics, Mar=HotTake, Mer=Data, Jeu=Connexion, Ven=BIP) · R et F = contenu variable · Source = Google Sheet Cold Outreach</t>
  </si>
  <si>
    <t xml:space="preserve">Jour</t>
  </si>
  <si>
    <t xml:space="preserve">Compte</t>
  </si>
  <si>
    <t xml:space="preserve">Pilier</t>
  </si>
  <si>
    <t xml:space="preserve">Format</t>
  </si>
  <si>
    <t xml:space="preserve">Hook (1ère ligne)</t>
  </si>
  <si>
    <t xml:space="preserve">Contenu complet</t>
  </si>
  <si>
    <t xml:space="preserve">Données source (réf sheet CO)</t>
  </si>
  <si>
    <t xml:space="preserve">Heure publication</t>
  </si>
  <si>
    <t xml:space="preserve">Publié?</t>
  </si>
  <si>
    <t xml:space="preserve">Engagement (likes/replies/RT)</t>
  </si>
  <si>
    <t xml:space="preserve">W1</t>
  </si>
  <si>
    <t xml:space="preserve">Lundi</t>
  </si>
  <si>
    <t xml:space="preserve">F2</t>
  </si>
  <si>
    <t xml:space="preserve">Metrics / Milestone</t>
  </si>
  <si>
    <t xml:space="preserve">Thread court</t>
  </si>
  <si>
    <t xml:space="preserve">[Week X] Numbers:</t>
  </si>
  <si>
    <t xml:space="preserve">Mardi</t>
  </si>
  <si>
    <t xml:space="preserve">Provocation / Hot Take</t>
  </si>
  <si>
    <t xml:space="preserve">Tweet single</t>
  </si>
  <si>
    <t xml:space="preserve">[Opinion tranchée studio]</t>
  </si>
  <si>
    <t xml:space="preserve">Mercredi</t>
  </si>
  <si>
    <t xml:space="preserve">Data Thread</t>
  </si>
  <si>
    <t xml:space="preserve">Thread 4-5 tweets</t>
  </si>
  <si>
    <t xml:space="preserve">We analyzed [N] pages this week 🧵</t>
  </si>
  <si>
    <t xml:space="preserve">Jeudi</t>
  </si>
  <si>
    <t xml:space="preserve">Connexion / Communauté</t>
  </si>
  <si>
    <t xml:space="preserve">Question ouverte</t>
  </si>
  <si>
    <t xml:space="preserve">[Question pour founders]</t>
  </si>
  <si>
    <t xml:space="preserve">Vendredi</t>
  </si>
  <si>
    <t xml:space="preserve">Build in Public</t>
  </si>
  <si>
    <t xml:space="preserve">This week at @foundrytwo:</t>
  </si>
  <si>
    <t xml:space="preserve">R perso</t>
  </si>
  <si>
    <t xml:space="preserve">Provocation</t>
  </si>
  <si>
    <t xml:space="preserve">[Hot take CRO/conversion]</t>
  </si>
  <si>
    <t xml:space="preserve">Valeur</t>
  </si>
  <si>
    <t xml:space="preserve">[Insight cold outreach]</t>
  </si>
  <si>
    <t xml:space="preserve">Connexion</t>
  </si>
  <si>
    <t xml:space="preserve">Question</t>
  </si>
  <si>
    <t xml:space="preserve">[Question growth marketers]</t>
  </si>
  <si>
    <t xml:space="preserve">[Tip actionnable CRO]</t>
  </si>
  <si>
    <t xml:space="preserve">[Learning de la semaine]</t>
  </si>
  <si>
    <t xml:space="preserve">F perso</t>
  </si>
  <si>
    <t xml:space="preserve">[Ce que j'ai codé ce weekend]</t>
  </si>
  <si>
    <t xml:space="preserve">Tech insight</t>
  </si>
  <si>
    <t xml:space="preserve">[Learning technique]</t>
  </si>
  <si>
    <t xml:space="preserve">Behind the scenes</t>
  </si>
  <si>
    <t xml:space="preserve">Screenshot + texte</t>
  </si>
  <si>
    <t xml:space="preserve">[Bug/architecture decision]</t>
  </si>
  <si>
    <t xml:space="preserve">Provocation tech</t>
  </si>
  <si>
    <t xml:space="preserve">[Hot take dev/IA]</t>
  </si>
  <si>
    <t xml:space="preserve">[Ship de la semaine]</t>
  </si>
  <si>
    <t xml:space="preserve">WEEKLY REVIEW — TABLEAU DE BORD</t>
  </si>
  <si>
    <t xml:space="preserve">Revue chaque vendredi soir avec F · Remplir après chaque semaine · Les formules se connectent aux autres onglets quand les données sont dans le même classeur</t>
  </si>
  <si>
    <t xml:space="preserve">COLD OUTREACH</t>
  </si>
  <si>
    <t xml:space="preserve">Outreachs envoyés</t>
  </si>
  <si>
    <t xml:space="preserve">Réactions</t>
  </si>
  <si>
    <t xml:space="preserve">Taux réaction</t>
  </si>
  <si>
    <t xml:space="preserve">Clics</t>
  </si>
  <si>
    <t xml:space="preserve">MRR cumulé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</si>
  <si>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</si>
  <si>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</si>
  <si>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</si>
  <si>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</si>
  <si>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</si>
  <si>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</si>
  <si>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</si>
  <si>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</si>
  <si>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150+</t>
  </si>
  <si>
    <t xml:space="preserve">&gt;30%</t>
  </si>
  <si>
    <t xml:space="preserve">20+</t>
  </si>
  <si>
    <t xml:space="preserve">10+</t>
  </si>
  <si>
    <t xml:space="preserve">€580+</t>
  </si>
  <si>
    <t xml:space="preserve">ENGAGEMENT &amp; AUDIENCE</t>
  </si>
  <si>
    <t xml:space="preserve">Impressions</t>
  </si>
  <si>
    <t xml:space="preserve">Replies reçues</t>
  </si>
  <si>
    <t xml:space="preserve">Ratio replies/impr</t>
  </si>
  <si>
    <t xml:space="preserve">Nouveaux followers</t>
  </si>
  <si>
    <t xml:space="preserve">DMs entrants</t>
  </si>
  <si>
    <t xml:space="preserve">Mentions par autres</t>
  </si>
  <si>
    <t xml:space="preserve">Clics vers LD</t>
  </si>
  <si>
    <t xml:space="preserve">5K/sem</t>
  </si>
  <si>
    <t xml:space="preserve">10/sem</t>
  </si>
  <si>
    <t xml:space="preserve">&gt;1%</t>
  </si>
  <si>
    <t xml:space="preserve">20/sem</t>
  </si>
  <si>
    <t xml:space="preserve">1-2/sem</t>
  </si>
  <si>
    <t xml:space="preserve">1/sem</t>
  </si>
  <si>
    <t xml:space="preserve">TOP POSTS DE LA SEMAINE</t>
  </si>
  <si>
    <t xml:space="preserve">Post (hook)</t>
  </si>
  <si>
    <t xml:space="preserve">Replies</t>
  </si>
  <si>
    <t xml:space="preserve">Likes</t>
  </si>
  <si>
    <t xml:space="preserve">RT</t>
  </si>
  <si>
    <t xml:space="preserve">Pourquoi ça a marché / pas marché</t>
  </si>
  <si>
    <t xml:space="preserve">Best</t>
  </si>
  <si>
    <t xml:space="preserve">Worst</t>
  </si>
  <si>
    <t xml:space="preserve">DÉCISIONS &amp; AJUSTEMENTS</t>
  </si>
  <si>
    <t xml:space="preserve">Observation</t>
  </si>
  <si>
    <t xml:space="preserve">Décision</t>
  </si>
  <si>
    <t xml:space="preserve">Action pour semaine suivante</t>
  </si>
  <si>
    <t xml:space="preserve">CROSS-ENGAGEMENT LOG</t>
  </si>
  <si>
    <t xml:space="preserve">Chaque post F2/R/F doit recevoir du cross-engagement dans les 30 min · Ce log vérifie que c'est fait</t>
  </si>
  <si>
    <t xml:space="preserve">Post original (compte + hook)</t>
  </si>
  <si>
    <t xml:space="preserve">Cross-engage R? (heure)</t>
  </si>
  <si>
    <t xml:space="preserve">Cross-engage F? (heure)</t>
  </si>
  <si>
    <t xml:space="preserve">&lt; 30 min?</t>
  </si>
  <si>
    <t xml:space="preserve">Commentaire R</t>
  </si>
  <si>
    <t xml:space="preserve">Commentaire F</t>
  </si>
  <si>
    <t xml:space="preserve">Oui / Non / Retard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</si>
</sst>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\€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59E0B"/>
      <name val="Arial"/>
      <family val="0"/>
      <charset val="1"/>
    </font>
    <font>
      <i val="true"/>
      <sz val="9"/>
      <color rgb="FF9CA3AF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sz val="10"/>
      <color rgb="FFF5F5F5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0"/>
      <color rgb="FF3B82F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11827"/>
        <bgColor rgb="FF0F172A"/>
      </patternFill>
    </fill>
    <fill>
      <patternFill patternType="solid">
        <fgColor rgb="FF1E293B"/>
        <bgColor rgb="FF1F2937"/>
      </patternFill>
    </fill>
    <fill>
      <patternFill patternType="solid">
        <fgColor rgb="FF0F172A"/>
        <bgColor rgb="FF111827"/>
      </patternFill>
    </fill>
    <fill>
      <patternFill patternType="solid">
        <fgColor rgb="FF1F2937"/>
        <bgColor rgb="FF1E29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333E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BBF24"/>
      <rgbColor rgb="FFF59E0B"/>
      <rgbColor rgb="FFFF6600"/>
      <rgbColor rgb="FF666699"/>
      <rgbColor rgb="FF9CA3AF"/>
      <rgbColor rgb="FF1E293B"/>
      <rgbColor rgb="FF22C55E"/>
      <rgbColor rgb="FF111827"/>
      <rgbColor rgb="FF0F172A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85" hidden="false" customHeight="false" outlineLevel="0" collapsed="false">
      <c r="A5" s="5"/>
      <c r="B5" s="6" t="str">
        <f aca="false">IF(A5="","",WEEKNUM(A5,21))</f>
        <v/>
      </c>
      <c r="C5" s="6" t="s">
        <v>13</v>
      </c>
      <c r="D5" s="7"/>
      <c r="E5" s="7"/>
      <c r="F5" s="7"/>
      <c r="G5" s="7"/>
      <c r="H5" s="7"/>
      <c r="I5" s="8" t="s">
        <v>14</v>
      </c>
      <c r="J5" s="8" t="s">
        <v>15</v>
      </c>
      <c r="K5" s="8" t="s">
        <v>16</v>
      </c>
    </row>
    <row r="6" customFormat="false" ht="15" hidden="false" customHeight="false" outlineLevel="0" collapsed="false">
      <c r="A6" s="9"/>
      <c r="B6" s="10" t="str">
        <f aca="false">IF(A6="","",WEEKNUM(A6,21))</f>
        <v/>
      </c>
      <c r="C6" s="9"/>
      <c r="D6" s="11"/>
      <c r="E6" s="11"/>
      <c r="F6" s="11"/>
      <c r="G6" s="11"/>
      <c r="H6" s="11"/>
      <c r="I6" s="11"/>
      <c r="J6" s="11"/>
      <c r="K6" s="11"/>
    </row>
    <row r="7" customFormat="false" ht="15" hidden="false" customHeight="false" outlineLevel="0" collapsed="false">
      <c r="A7" s="5"/>
      <c r="B7" s="6" t="str">
        <f aca="false">IF(A7="","",WEEKNUM(A7,21))</f>
        <v/>
      </c>
      <c r="C7" s="5"/>
      <c r="D7" s="7"/>
      <c r="E7" s="7"/>
      <c r="F7" s="7"/>
      <c r="G7" s="7"/>
      <c r="H7" s="7"/>
      <c r="I7" s="7"/>
      <c r="J7" s="7"/>
      <c r="K7" s="7"/>
    </row>
    <row r="8" customFormat="false" ht="15" hidden="false" customHeight="false" outlineLevel="0" collapsed="false">
      <c r="A8" s="9"/>
      <c r="B8" s="10" t="str">
        <f aca="false">IF(A8="","",WEEKNUM(A8,21))</f>
        <v/>
      </c>
      <c r="C8" s="9"/>
      <c r="D8" s="11"/>
      <c r="E8" s="11"/>
      <c r="F8" s="11"/>
      <c r="G8" s="11"/>
      <c r="H8" s="11"/>
      <c r="I8" s="11"/>
      <c r="J8" s="11"/>
      <c r="K8" s="11"/>
    </row>
    <row r="9" customFormat="false" ht="15" hidden="false" customHeight="false" outlineLevel="0" collapsed="false">
      <c r="A9" s="5"/>
      <c r="B9" s="6" t="str">
        <f aca="false">IF(A9="","",WEEKNUM(A9,21))</f>
        <v/>
      </c>
      <c r="C9" s="5"/>
      <c r="D9" s="7"/>
      <c r="E9" s="7"/>
      <c r="F9" s="7"/>
      <c r="G9" s="7"/>
      <c r="H9" s="7"/>
      <c r="I9" s="7"/>
      <c r="J9" s="7"/>
      <c r="K9" s="7"/>
    </row>
    <row r="10" customFormat="false" ht="15" hidden="false" customHeight="false" outlineLevel="0" collapsed="false">
      <c r="A10" s="9"/>
      <c r="B10" s="10" t="str">
        <f aca="false">IF(A10="","",WEEKNUM(A10,21))</f>
        <v/>
      </c>
      <c r="C10" s="9"/>
      <c r="D10" s="11"/>
      <c r="E10" s="11"/>
      <c r="F10" s="11"/>
      <c r="G10" s="11"/>
      <c r="H10" s="11"/>
      <c r="I10" s="11"/>
      <c r="J10" s="11"/>
      <c r="K10" s="11"/>
    </row>
    <row r="11" customFormat="false" ht="15" hidden="false" customHeight="false" outlineLevel="0" collapsed="false">
      <c r="A11" s="5"/>
      <c r="B11" s="6" t="str">
        <f aca="false">IF(A11="","",WEEKNUM(A11,21))</f>
        <v/>
      </c>
      <c r="C11" s="5"/>
      <c r="D11" s="7"/>
      <c r="E11" s="7"/>
      <c r="F11" s="7"/>
      <c r="G11" s="7"/>
      <c r="H11" s="7"/>
      <c r="I11" s="7"/>
      <c r="J11" s="7"/>
      <c r="K11" s="7"/>
    </row>
    <row r="12" customFormat="false" ht="15" hidden="false" customHeight="false" outlineLevel="0" collapsed="false">
      <c r="A12" s="9"/>
      <c r="B12" s="10" t="str">
        <f aca="false">IF(A12="","",WEEKNUM(A12,21))</f>
        <v/>
      </c>
      <c r="C12" s="9"/>
      <c r="D12" s="11"/>
      <c r="E12" s="11"/>
      <c r="F12" s="11"/>
      <c r="G12" s="11"/>
      <c r="H12" s="11"/>
      <c r="I12" s="11"/>
      <c r="J12" s="11"/>
      <c r="K12" s="11"/>
    </row>
    <row r="13" customFormat="false" ht="15" hidden="false" customHeight="false" outlineLevel="0" collapsed="false">
      <c r="A13" s="5"/>
      <c r="B13" s="6" t="str">
        <f aca="false">IF(A13="","",WEEKNUM(A13,21))</f>
        <v/>
      </c>
      <c r="C13" s="5"/>
      <c r="D13" s="7"/>
      <c r="E13" s="7"/>
      <c r="F13" s="7"/>
      <c r="G13" s="7"/>
      <c r="H13" s="7"/>
      <c r="I13" s="7"/>
      <c r="J13" s="7"/>
      <c r="K13" s="7"/>
    </row>
    <row r="14" customFormat="false" ht="15" hidden="false" customHeight="false" outlineLevel="0" collapsed="false">
      <c r="A14" s="9"/>
      <c r="B14" s="10" t="str">
        <f aca="false">IF(A14="","",WEEKNUM(A14,21))</f>
        <v/>
      </c>
      <c r="C14" s="9"/>
      <c r="D14" s="11"/>
      <c r="E14" s="11"/>
      <c r="F14" s="11"/>
      <c r="G14" s="11"/>
      <c r="H14" s="11"/>
      <c r="I14" s="11"/>
      <c r="J14" s="11"/>
      <c r="K14" s="11"/>
    </row>
    <row r="15" customFormat="false" ht="15" hidden="false" customHeight="false" outlineLevel="0" collapsed="false">
      <c r="A15" s="5"/>
      <c r="B15" s="6" t="str">
        <f aca="false">IF(A15="","",WEEKNUM(A15,21))</f>
        <v/>
      </c>
      <c r="C15" s="5"/>
      <c r="D15" s="7"/>
      <c r="E15" s="7"/>
      <c r="F15" s="7"/>
      <c r="G15" s="7"/>
      <c r="H15" s="7"/>
      <c r="I15" s="7"/>
      <c r="J15" s="7"/>
      <c r="K15" s="7"/>
    </row>
    <row r="16" customFormat="false" ht="15" hidden="false" customHeight="false" outlineLevel="0" collapsed="false">
      <c r="A16" s="9"/>
      <c r="B16" s="10" t="str">
        <f aca="false">IF(A16="","",WEEKNUM(A16,21))</f>
        <v/>
      </c>
      <c r="C16" s="9"/>
      <c r="D16" s="11"/>
      <c r="E16" s="11"/>
      <c r="F16" s="11"/>
      <c r="G16" s="11"/>
      <c r="H16" s="11"/>
      <c r="I16" s="11"/>
      <c r="J16" s="11"/>
      <c r="K16" s="11"/>
    </row>
    <row r="17" customFormat="false" ht="15" hidden="false" customHeight="false" outlineLevel="0" collapsed="false">
      <c r="A17" s="5"/>
      <c r="B17" s="6" t="str">
        <f aca="false">IF(A17="","",WEEKNUM(A17,21))</f>
        <v/>
      </c>
      <c r="C17" s="5"/>
      <c r="D17" s="7"/>
      <c r="E17" s="7"/>
      <c r="F17" s="7"/>
      <c r="G17" s="7"/>
      <c r="H17" s="7"/>
      <c r="I17" s="7"/>
      <c r="J17" s="7"/>
      <c r="K17" s="7"/>
    </row>
    <row r="18" customFormat="false" ht="15" hidden="false" customHeight="false" outlineLevel="0" collapsed="false">
      <c r="A18" s="9"/>
      <c r="B18" s="10" t="str">
        <f aca="false">IF(A18="","",WEEKNUM(A18,21))</f>
        <v/>
      </c>
      <c r="C18" s="9"/>
      <c r="D18" s="11"/>
      <c r="E18" s="11"/>
      <c r="F18" s="11"/>
      <c r="G18" s="11"/>
      <c r="H18" s="11"/>
      <c r="I18" s="11"/>
      <c r="J18" s="11"/>
      <c r="K18" s="11"/>
    </row>
    <row r="19" customFormat="false" ht="15" hidden="false" customHeight="false" outlineLevel="0" collapsed="false">
      <c r="A19" s="5"/>
      <c r="B19" s="6" t="str">
        <f aca="false">IF(A19="","",WEEKNUM(A19,21))</f>
        <v/>
      </c>
      <c r="C19" s="5"/>
      <c r="D19" s="7"/>
      <c r="E19" s="7"/>
      <c r="F19" s="7"/>
      <c r="G19" s="7"/>
      <c r="H19" s="7"/>
      <c r="I19" s="7"/>
      <c r="J19" s="7"/>
      <c r="K19" s="7"/>
    </row>
    <row r="20" customFormat="false" ht="15" hidden="false" customHeight="false" outlineLevel="0" collapsed="false">
      <c r="A20" s="9"/>
      <c r="B20" s="10" t="str">
        <f aca="false">IF(A20="","",WEEKNUM(A20,21))</f>
        <v/>
      </c>
      <c r="C20" s="9"/>
      <c r="D20" s="11"/>
      <c r="E20" s="11"/>
      <c r="F20" s="11"/>
      <c r="G20" s="11"/>
      <c r="H20" s="11"/>
      <c r="I20" s="11"/>
      <c r="J20" s="11"/>
      <c r="K20" s="11"/>
    </row>
    <row r="21" customFormat="false" ht="15" hidden="false" customHeight="false" outlineLevel="0" collapsed="false">
      <c r="A21" s="5"/>
      <c r="B21" s="6" t="str">
        <f aca="false">IF(A21="","",WEEKNUM(A21,21))</f>
        <v/>
      </c>
      <c r="C21" s="5"/>
      <c r="D21" s="7"/>
      <c r="E21" s="7"/>
      <c r="F21" s="7"/>
      <c r="G21" s="7"/>
      <c r="H21" s="7"/>
      <c r="I21" s="7"/>
      <c r="J21" s="7"/>
      <c r="K21" s="7"/>
    </row>
    <row r="22" customFormat="false" ht="15" hidden="false" customHeight="false" outlineLevel="0" collapsed="false">
      <c r="A22" s="9"/>
      <c r="B22" s="10" t="str">
        <f aca="false">IF(A22="","",WEEKNUM(A22,21))</f>
        <v/>
      </c>
      <c r="C22" s="9"/>
      <c r="D22" s="11"/>
      <c r="E22" s="11"/>
      <c r="F22" s="11"/>
      <c r="G22" s="11"/>
      <c r="H22" s="11"/>
      <c r="I22" s="11"/>
      <c r="J22" s="11"/>
      <c r="K22" s="11"/>
    </row>
    <row r="23" customFormat="false" ht="15" hidden="false" customHeight="false" outlineLevel="0" collapsed="false">
      <c r="A23" s="5"/>
      <c r="B23" s="6" t="str">
        <f aca="false">IF(A23="","",WEEKNUM(A23,21))</f>
        <v/>
      </c>
      <c r="C23" s="5"/>
      <c r="D23" s="7"/>
      <c r="E23" s="7"/>
      <c r="F23" s="7"/>
      <c r="G23" s="7"/>
      <c r="H23" s="7"/>
      <c r="I23" s="7"/>
      <c r="J23" s="7"/>
      <c r="K23" s="7"/>
    </row>
    <row r="24" customFormat="false" ht="15" hidden="false" customHeight="false" outlineLevel="0" collapsed="false">
      <c r="A24" s="9"/>
      <c r="B24" s="10" t="str">
        <f aca="false">IF(A24="","",WEEKNUM(A24,21))</f>
        <v/>
      </c>
      <c r="C24" s="9"/>
      <c r="D24" s="11"/>
      <c r="E24" s="11"/>
      <c r="F24" s="11"/>
      <c r="G24" s="11"/>
      <c r="H24" s="11"/>
      <c r="I24" s="11"/>
      <c r="J24" s="11"/>
      <c r="K24" s="11"/>
    </row>
    <row r="25" customFormat="false" ht="15" hidden="false" customHeight="false" outlineLevel="0" collapsed="false">
      <c r="A25" s="5"/>
      <c r="B25" s="6" t="str">
        <f aca="false">IF(A25="","",WEEKNUM(A25,21))</f>
        <v/>
      </c>
      <c r="C25" s="5"/>
      <c r="D25" s="7"/>
      <c r="E25" s="7"/>
      <c r="F25" s="7"/>
      <c r="G25" s="7"/>
      <c r="H25" s="7"/>
      <c r="I25" s="7"/>
      <c r="J25" s="7"/>
      <c r="K25" s="7"/>
    </row>
    <row r="26" customFormat="false" ht="15" hidden="false" customHeight="false" outlineLevel="0" collapsed="false">
      <c r="A26" s="9"/>
      <c r="B26" s="10" t="str">
        <f aca="false">IF(A26="","",WEEKNUM(A26,21))</f>
        <v/>
      </c>
      <c r="C26" s="9"/>
      <c r="D26" s="11"/>
      <c r="E26" s="11"/>
      <c r="F26" s="11"/>
      <c r="G26" s="11"/>
      <c r="H26" s="11"/>
      <c r="I26" s="11"/>
      <c r="J26" s="11"/>
      <c r="K26" s="11"/>
    </row>
    <row r="27" customFormat="false" ht="15" hidden="false" customHeight="false" outlineLevel="0" collapsed="false">
      <c r="A27" s="5"/>
      <c r="B27" s="6" t="str">
        <f aca="false">IF(A27="","",WEEKNUM(A27,21))</f>
        <v/>
      </c>
      <c r="C27" s="5"/>
      <c r="D27" s="7"/>
      <c r="E27" s="7"/>
      <c r="F27" s="7"/>
      <c r="G27" s="7"/>
      <c r="H27" s="7"/>
      <c r="I27" s="7"/>
      <c r="J27" s="7"/>
      <c r="K27" s="7"/>
    </row>
    <row r="28" customFormat="false" ht="15" hidden="false" customHeight="false" outlineLevel="0" collapsed="false">
      <c r="A28" s="9"/>
      <c r="B28" s="10" t="str">
        <f aca="false">IF(A28="","",WEEKNUM(A28,21))</f>
        <v/>
      </c>
      <c r="C28" s="9"/>
      <c r="D28" s="11"/>
      <c r="E28" s="11"/>
      <c r="F28" s="11"/>
      <c r="G28" s="11"/>
      <c r="H28" s="11"/>
      <c r="I28" s="11"/>
      <c r="J28" s="11"/>
      <c r="K28" s="11"/>
    </row>
    <row r="29" customFormat="false" ht="15" hidden="false" customHeight="false" outlineLevel="0" collapsed="false">
      <c r="A29" s="5"/>
      <c r="B29" s="6" t="str">
        <f aca="false">IF(A29="","",WEEKNUM(A29,21))</f>
        <v/>
      </c>
      <c r="C29" s="5"/>
      <c r="D29" s="7"/>
      <c r="E29" s="7"/>
      <c r="F29" s="7"/>
      <c r="G29" s="7"/>
      <c r="H29" s="7"/>
      <c r="I29" s="7"/>
      <c r="J29" s="7"/>
      <c r="K29" s="7"/>
    </row>
    <row r="30" customFormat="false" ht="15" hidden="false" customHeight="false" outlineLevel="0" collapsed="false">
      <c r="A30" s="9"/>
      <c r="B30" s="10" t="str">
        <f aca="false">IF(A30="","",WEEKNUM(A30,21))</f>
        <v/>
      </c>
      <c r="C30" s="9"/>
      <c r="D30" s="11"/>
      <c r="E30" s="11"/>
      <c r="F30" s="11"/>
      <c r="G30" s="11"/>
      <c r="H30" s="11"/>
      <c r="I30" s="11"/>
      <c r="J30" s="11"/>
      <c r="K30" s="11"/>
    </row>
    <row r="31" customFormat="false" ht="15" hidden="false" customHeight="false" outlineLevel="0" collapsed="false">
      <c r="A31" s="5"/>
      <c r="B31" s="6" t="str">
        <f aca="false">IF(A31="","",WEEKNUM(A31,21))</f>
        <v/>
      </c>
      <c r="C31" s="5"/>
      <c r="D31" s="7"/>
      <c r="E31" s="7"/>
      <c r="F31" s="7"/>
      <c r="G31" s="7"/>
      <c r="H31" s="7"/>
      <c r="I31" s="7"/>
      <c r="J31" s="7"/>
      <c r="K31" s="7"/>
    </row>
    <row r="32" customFormat="false" ht="15" hidden="false" customHeight="false" outlineLevel="0" collapsed="false">
      <c r="A32" s="9"/>
      <c r="B32" s="10" t="str">
        <f aca="false">IF(A32="","",WEEKNUM(A32,21))</f>
        <v/>
      </c>
      <c r="C32" s="9"/>
      <c r="D32" s="11"/>
      <c r="E32" s="11"/>
      <c r="F32" s="11"/>
      <c r="G32" s="11"/>
      <c r="H32" s="11"/>
      <c r="I32" s="11"/>
      <c r="J32" s="11"/>
      <c r="K32" s="11"/>
    </row>
    <row r="33" customFormat="false" ht="15" hidden="false" customHeight="false" outlineLevel="0" collapsed="false">
      <c r="A33" s="5"/>
      <c r="B33" s="6" t="str">
        <f aca="false">IF(A33="","",WEEKNUM(A33,21))</f>
        <v/>
      </c>
      <c r="C33" s="5"/>
      <c r="D33" s="7"/>
      <c r="E33" s="7"/>
      <c r="F33" s="7"/>
      <c r="G33" s="7"/>
      <c r="H33" s="7"/>
      <c r="I33" s="7"/>
      <c r="J33" s="7"/>
      <c r="K33" s="7"/>
    </row>
    <row r="34" customFormat="false" ht="15" hidden="false" customHeight="false" outlineLevel="0" collapsed="false">
      <c r="A34" s="9"/>
      <c r="B34" s="10" t="str">
        <f aca="false">IF(A34="","",WEEKNUM(A34,21))</f>
        <v/>
      </c>
      <c r="C34" s="9"/>
      <c r="D34" s="11"/>
      <c r="E34" s="11"/>
      <c r="F34" s="11"/>
      <c r="G34" s="11"/>
      <c r="H34" s="11"/>
      <c r="I34" s="11"/>
      <c r="J34" s="11"/>
      <c r="K34" s="11"/>
    </row>
    <row r="35" customFormat="false" ht="15" hidden="false" customHeight="false" outlineLevel="0" collapsed="false">
      <c r="A35" s="5"/>
      <c r="B35" s="6" t="str">
        <f aca="false">IF(A35="","",WEEKNUM(A35,21))</f>
        <v/>
      </c>
      <c r="C35" s="5"/>
      <c r="D35" s="7"/>
      <c r="E35" s="7"/>
      <c r="F35" s="7"/>
      <c r="G35" s="7"/>
      <c r="H35" s="7"/>
      <c r="I35" s="7"/>
      <c r="J35" s="7"/>
      <c r="K35" s="7"/>
    </row>
    <row r="36" customFormat="false" ht="15" hidden="false" customHeight="false" outlineLevel="0" collapsed="false">
      <c r="A36" s="9"/>
      <c r="B36" s="10" t="str">
        <f aca="false">IF(A36="","",WEEKNUM(A36,21))</f>
        <v/>
      </c>
      <c r="C36" s="9"/>
      <c r="D36" s="11"/>
      <c r="E36" s="11"/>
      <c r="F36" s="11"/>
      <c r="G36" s="11"/>
      <c r="H36" s="11"/>
      <c r="I36" s="11"/>
      <c r="J36" s="11"/>
      <c r="K36" s="11"/>
    </row>
    <row r="37" customFormat="false" ht="15" hidden="false" customHeight="false" outlineLevel="0" collapsed="false">
      <c r="A37" s="5"/>
      <c r="B37" s="6" t="str">
        <f aca="false">IF(A37="","",WEEKNUM(A37,21))</f>
        <v/>
      </c>
      <c r="C37" s="5"/>
      <c r="D37" s="7"/>
      <c r="E37" s="7"/>
      <c r="F37" s="7"/>
      <c r="G37" s="7"/>
      <c r="H37" s="7"/>
      <c r="I37" s="7"/>
      <c r="J37" s="7"/>
      <c r="K37" s="7"/>
    </row>
    <row r="38" customFormat="false" ht="15" hidden="false" customHeight="false" outlineLevel="0" collapsed="false">
      <c r="A38" s="9"/>
      <c r="B38" s="10" t="str">
        <f aca="false">IF(A38="","",WEEKNUM(A38,21))</f>
        <v/>
      </c>
      <c r="C38" s="9"/>
      <c r="D38" s="11"/>
      <c r="E38" s="11"/>
      <c r="F38" s="11"/>
      <c r="G38" s="11"/>
      <c r="H38" s="11"/>
      <c r="I38" s="11"/>
      <c r="J38" s="11"/>
      <c r="K38" s="11"/>
    </row>
    <row r="39" customFormat="false" ht="15" hidden="false" customHeight="false" outlineLevel="0" collapsed="false">
      <c r="A39" s="5"/>
      <c r="B39" s="6" t="str">
        <f aca="false">IF(A39="","",WEEKNUM(A39,21))</f>
        <v/>
      </c>
      <c r="C39" s="5"/>
      <c r="D39" s="7"/>
      <c r="E39" s="7"/>
      <c r="F39" s="7"/>
      <c r="G39" s="7"/>
      <c r="H39" s="7"/>
      <c r="I39" s="7"/>
      <c r="J39" s="7"/>
      <c r="K39" s="7"/>
    </row>
    <row r="40" customFormat="false" ht="15" hidden="false" customHeight="false" outlineLevel="0" collapsed="false">
      <c r="A40" s="9"/>
      <c r="B40" s="10" t="str">
        <f aca="false">IF(A40="","",WEEKNUM(A40,21))</f>
        <v/>
      </c>
      <c r="C40" s="9"/>
      <c r="D40" s="11"/>
      <c r="E40" s="11"/>
      <c r="F40" s="11"/>
      <c r="G40" s="11"/>
      <c r="H40" s="11"/>
      <c r="I40" s="11"/>
      <c r="J40" s="11"/>
      <c r="K40" s="11"/>
    </row>
    <row r="41" customFormat="false" ht="15" hidden="false" customHeight="false" outlineLevel="0" collapsed="false">
      <c r="A41" s="5"/>
      <c r="B41" s="6" t="str">
        <f aca="false">IF(A41="","",WEEKNUM(A41,21))</f>
        <v/>
      </c>
      <c r="C41" s="5"/>
      <c r="D41" s="7"/>
      <c r="E41" s="7"/>
      <c r="F41" s="7"/>
      <c r="G41" s="7"/>
      <c r="H41" s="7"/>
      <c r="I41" s="7"/>
      <c r="J41" s="7"/>
      <c r="K41" s="7"/>
    </row>
    <row r="42" customFormat="false" ht="15" hidden="false" customHeight="false" outlineLevel="0" collapsed="false">
      <c r="A42" s="9"/>
      <c r="B42" s="10" t="str">
        <f aca="false">IF(A42="","",WEEKNUM(A42,21))</f>
        <v/>
      </c>
      <c r="C42" s="9"/>
      <c r="D42" s="11"/>
      <c r="E42" s="11"/>
      <c r="F42" s="11"/>
      <c r="G42" s="11"/>
      <c r="H42" s="11"/>
      <c r="I42" s="11"/>
      <c r="J42" s="11"/>
      <c r="K42" s="11"/>
    </row>
    <row r="43" customFormat="false" ht="15" hidden="false" customHeight="false" outlineLevel="0" collapsed="false">
      <c r="A43" s="5"/>
      <c r="B43" s="6" t="str">
        <f aca="false">IF(A43="","",WEEKNUM(A43,21))</f>
        <v/>
      </c>
      <c r="C43" s="5"/>
      <c r="D43" s="7"/>
      <c r="E43" s="7"/>
      <c r="F43" s="7"/>
      <c r="G43" s="7"/>
      <c r="H43" s="7"/>
      <c r="I43" s="7"/>
      <c r="J43" s="7"/>
      <c r="K43" s="7"/>
    </row>
    <row r="44" customFormat="false" ht="15" hidden="false" customHeight="false" outlineLevel="0" collapsed="false">
      <c r="A44" s="9"/>
      <c r="B44" s="10" t="str">
        <f aca="false">IF(A44="","",WEEKNUM(A44,21))</f>
        <v/>
      </c>
      <c r="C44" s="9"/>
      <c r="D44" s="11"/>
      <c r="E44" s="11"/>
      <c r="F44" s="11"/>
      <c r="G44" s="11"/>
      <c r="H44" s="11"/>
      <c r="I44" s="11"/>
      <c r="J44" s="11"/>
      <c r="K44" s="11"/>
    </row>
    <row r="45" customFormat="false" ht="15" hidden="false" customHeight="false" outlineLevel="0" collapsed="false">
      <c r="A45" s="5"/>
      <c r="B45" s="6" t="str">
        <f aca="false">IF(A45="","",WEEKNUM(A45,21))</f>
        <v/>
      </c>
      <c r="C45" s="5"/>
      <c r="D45" s="7"/>
      <c r="E45" s="7"/>
      <c r="F45" s="7"/>
      <c r="G45" s="7"/>
      <c r="H45" s="7"/>
      <c r="I45" s="7"/>
      <c r="J45" s="7"/>
      <c r="K45" s="7"/>
    </row>
    <row r="46" customFormat="false" ht="15" hidden="false" customHeight="false" outlineLevel="0" collapsed="false">
      <c r="A46" s="9"/>
      <c r="B46" s="10" t="str">
        <f aca="false">IF(A46="","",WEEKNUM(A46,21))</f>
        <v/>
      </c>
      <c r="C46" s="9"/>
      <c r="D46" s="11"/>
      <c r="E46" s="11"/>
      <c r="F46" s="11"/>
      <c r="G46" s="11"/>
      <c r="H46" s="11"/>
      <c r="I46" s="11"/>
      <c r="J46" s="11"/>
      <c r="K46" s="11"/>
    </row>
    <row r="47" customFormat="false" ht="15" hidden="false" customHeight="false" outlineLevel="0" collapsed="false">
      <c r="A47" s="5"/>
      <c r="B47" s="6" t="str">
        <f aca="false">IF(A47="","",WEEKNUM(A47,21))</f>
        <v/>
      </c>
      <c r="C47" s="5"/>
      <c r="D47" s="7"/>
      <c r="E47" s="7"/>
      <c r="F47" s="7"/>
      <c r="G47" s="7"/>
      <c r="H47" s="7"/>
      <c r="I47" s="7"/>
      <c r="J47" s="7"/>
      <c r="K47" s="7"/>
    </row>
    <row r="48" customFormat="false" ht="15" hidden="false" customHeight="false" outlineLevel="0" collapsed="false">
      <c r="A48" s="9"/>
      <c r="B48" s="10" t="str">
        <f aca="false">IF(A48="","",WEEKNUM(A48,21))</f>
        <v/>
      </c>
      <c r="C48" s="9"/>
      <c r="D48" s="11"/>
      <c r="E48" s="11"/>
      <c r="F48" s="11"/>
      <c r="G48" s="11"/>
      <c r="H48" s="11"/>
      <c r="I48" s="11"/>
      <c r="J48" s="11"/>
      <c r="K48" s="11"/>
    </row>
    <row r="49" customFormat="false" ht="15" hidden="false" customHeight="false" outlineLevel="0" collapsed="false">
      <c r="A49" s="5"/>
      <c r="B49" s="6" t="str">
        <f aca="false">IF(A49="","",WEEKNUM(A49,21))</f>
        <v/>
      </c>
      <c r="C49" s="5"/>
      <c r="D49" s="7"/>
      <c r="E49" s="7"/>
      <c r="F49" s="7"/>
      <c r="G49" s="7"/>
      <c r="H49" s="7"/>
      <c r="I49" s="7"/>
      <c r="J49" s="7"/>
      <c r="K49" s="7"/>
    </row>
    <row r="50" customFormat="false" ht="15" hidden="false" customHeight="false" outlineLevel="0" collapsed="false">
      <c r="A50" s="9"/>
      <c r="B50" s="10" t="str">
        <f aca="false">IF(A50="","",WEEKNUM(A50,21))</f>
        <v/>
      </c>
      <c r="C50" s="9"/>
      <c r="D50" s="11"/>
      <c r="E50" s="11"/>
      <c r="F50" s="11"/>
      <c r="G50" s="11"/>
      <c r="H50" s="11"/>
      <c r="I50" s="11"/>
      <c r="J50" s="11"/>
      <c r="K50" s="11"/>
    </row>
    <row r="51" customFormat="false" ht="15" hidden="false" customHeight="false" outlineLevel="0" collapsed="false">
      <c r="A51" s="5"/>
      <c r="B51" s="6" t="str">
        <f aca="false">IF(A51="","",WEEKNUM(A51,21))</f>
        <v/>
      </c>
      <c r="C51" s="5"/>
      <c r="D51" s="7"/>
      <c r="E51" s="7"/>
      <c r="F51" s="7"/>
      <c r="G51" s="7"/>
      <c r="H51" s="7"/>
      <c r="I51" s="7"/>
      <c r="J51" s="7"/>
      <c r="K51" s="7"/>
    </row>
    <row r="52" customFormat="false" ht="15" hidden="false" customHeight="false" outlineLevel="0" collapsed="false">
      <c r="A52" s="9"/>
      <c r="B52" s="10" t="str">
        <f aca="false">IF(A52="","",WEEKNUM(A52,21))</f>
        <v/>
      </c>
      <c r="C52" s="9"/>
      <c r="D52" s="11"/>
      <c r="E52" s="11"/>
      <c r="F52" s="11"/>
      <c r="G52" s="11"/>
      <c r="H52" s="11"/>
      <c r="I52" s="11"/>
      <c r="J52" s="11"/>
      <c r="K52" s="11"/>
    </row>
    <row r="53" customFormat="false" ht="15" hidden="false" customHeight="false" outlineLevel="0" collapsed="false">
      <c r="A53" s="5"/>
      <c r="B53" s="6" t="str">
        <f aca="false">IF(A53="","",WEEKNUM(A53,21))</f>
        <v/>
      </c>
      <c r="C53" s="5"/>
      <c r="D53" s="7"/>
      <c r="E53" s="7"/>
      <c r="F53" s="7"/>
      <c r="G53" s="7"/>
      <c r="H53" s="7"/>
      <c r="I53" s="7"/>
      <c r="J53" s="7"/>
      <c r="K53" s="7"/>
    </row>
    <row r="54" customFormat="false" ht="15" hidden="false" customHeight="false" outlineLevel="0" collapsed="false">
      <c r="A54" s="9"/>
      <c r="B54" s="10" t="str">
        <f aca="false">IF(A54="","",WEEKNUM(A54,21))</f>
        <v/>
      </c>
      <c r="C54" s="9"/>
      <c r="D54" s="11"/>
      <c r="E54" s="11"/>
      <c r="F54" s="11"/>
      <c r="G54" s="11"/>
      <c r="H54" s="11"/>
      <c r="I54" s="11"/>
      <c r="J54" s="11"/>
      <c r="K54" s="11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false" outlineLevel="0" collapsed="false">
      <c r="A56" s="12" t="s">
        <v>17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customFormat="false" ht="15" hidden="false" customHeight="false" outlineLevel="0" collapsed="false">
      <c r="A57" s="13" t="s">
        <v>18</v>
      </c>
      <c r="B57" s="14" t="n">
        <f aca="false">COUNTA(A5:A54)</f>
        <v>0</v>
      </c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false" outlineLevel="0" collapsed="false">
      <c r="A58" s="13" t="s">
        <v>19</v>
      </c>
      <c r="B58" s="15" t="n">
        <f aca="false">COUNTIF(J5:J54,"&lt;&gt;Rien")/MAX(COUNTA(A5:A54),1)</f>
        <v>50</v>
      </c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false" outlineLevel="0" collapsed="false">
      <c r="A59" s="13" t="s">
        <v>20</v>
      </c>
      <c r="B59" s="15" t="n">
        <f aca="false">COUNTIF(J5:J54,"Clic")/MAX(COUNTA(A5:A54),1)</f>
        <v>0</v>
      </c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false" outlineLevel="0" collapsed="false">
      <c r="A60" s="13" t="s">
        <v>21</v>
      </c>
      <c r="B60" s="14" t="n">
        <f aca="false">COUNTIF(J5:J54,"Signup")</f>
        <v>0</v>
      </c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false" outlineLevel="0" collapsed="false">
      <c r="A61" s="13" t="s">
        <v>22</v>
      </c>
      <c r="B61" s="14" t="n">
        <f aca="false">COUNTIFS(K5:K54,"&lt;&gt;Non",K5:K54,"&lt;&gt;")</f>
        <v>1</v>
      </c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false" outlineLevel="0" collapsed="false">
      <c r="A62" s="13" t="s">
        <v>23</v>
      </c>
      <c r="B62" s="16" t="n">
        <f aca="false">COUNTIF(K5:K54,"Pro")*29+COUNTIF(K5:K54,"Agency")*99</f>
        <v>0</v>
      </c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</sheetData>
  <mergeCells count="3">
    <mergeCell ref="A1:K1"/>
    <mergeCell ref="A2:K2"/>
    <mergeCell ref="A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39.55" hidden="false" customHeight="false" outlineLevel="0" collapsed="false">
      <c r="A4" s="4" t="s">
        <v>2</v>
      </c>
      <c r="B4" s="4" t="s">
        <v>26</v>
      </c>
      <c r="C4" s="4" t="s">
        <v>27</v>
      </c>
      <c r="D4" s="4" t="s">
        <v>4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</row>
    <row r="5" customFormat="false" ht="23.85" hidden="false" customHeight="false" outlineLevel="0" collapsed="false">
      <c r="A5" s="5"/>
      <c r="B5" s="6" t="s">
        <v>34</v>
      </c>
      <c r="C5" s="6" t="s">
        <v>35</v>
      </c>
      <c r="D5" s="7"/>
      <c r="E5" s="7"/>
      <c r="F5" s="8" t="s">
        <v>36</v>
      </c>
      <c r="G5" s="7"/>
      <c r="H5" s="7"/>
      <c r="I5" s="7"/>
      <c r="J5" s="7"/>
    </row>
    <row r="6" customFormat="false" ht="15" hidden="false" customHeight="false" outlineLevel="0" collapsed="false">
      <c r="A6" s="9"/>
      <c r="B6" s="9"/>
      <c r="C6" s="9"/>
      <c r="D6" s="11"/>
      <c r="E6" s="11"/>
      <c r="F6" s="11"/>
      <c r="G6" s="11"/>
      <c r="H6" s="11"/>
      <c r="I6" s="11"/>
      <c r="J6" s="11"/>
    </row>
    <row r="7" customFormat="false" ht="15" hidden="false" customHeight="false" outlineLevel="0" collapsed="false">
      <c r="A7" s="5"/>
      <c r="B7" s="5"/>
      <c r="C7" s="5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9"/>
      <c r="B8" s="9"/>
      <c r="C8" s="9"/>
      <c r="D8" s="11"/>
      <c r="E8" s="11"/>
      <c r="F8" s="11"/>
      <c r="G8" s="11"/>
      <c r="H8" s="11"/>
      <c r="I8" s="11"/>
      <c r="J8" s="11"/>
    </row>
    <row r="9" customFormat="false" ht="15" hidden="false" customHeight="false" outlineLevel="0" collapsed="false">
      <c r="A9" s="5"/>
      <c r="B9" s="5"/>
      <c r="C9" s="5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9"/>
      <c r="B10" s="9"/>
      <c r="C10" s="9"/>
      <c r="D10" s="11"/>
      <c r="E10" s="11"/>
      <c r="F10" s="11"/>
      <c r="G10" s="11"/>
      <c r="H10" s="11"/>
      <c r="I10" s="11"/>
      <c r="J10" s="11"/>
    </row>
    <row r="11" customFormat="false" ht="15" hidden="false" customHeight="false" outlineLevel="0" collapsed="false">
      <c r="A11" s="5"/>
      <c r="B11" s="5"/>
      <c r="C11" s="5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9"/>
      <c r="B12" s="9"/>
      <c r="C12" s="9"/>
      <c r="D12" s="11"/>
      <c r="E12" s="11"/>
      <c r="F12" s="11"/>
      <c r="G12" s="11"/>
      <c r="H12" s="11"/>
      <c r="I12" s="11"/>
      <c r="J12" s="11"/>
    </row>
    <row r="13" customFormat="false" ht="15" hidden="false" customHeight="false" outlineLevel="0" collapsed="false">
      <c r="A13" s="5"/>
      <c r="B13" s="5"/>
      <c r="C13" s="5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9"/>
      <c r="B14" s="9"/>
      <c r="C14" s="9"/>
      <c r="D14" s="11"/>
      <c r="E14" s="11"/>
      <c r="F14" s="11"/>
      <c r="G14" s="11"/>
      <c r="H14" s="11"/>
      <c r="I14" s="11"/>
      <c r="J14" s="11"/>
    </row>
    <row r="15" customFormat="false" ht="15" hidden="false" customHeight="false" outlineLevel="0" collapsed="false">
      <c r="A15" s="5"/>
      <c r="B15" s="5"/>
      <c r="C15" s="5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9"/>
      <c r="B16" s="9"/>
      <c r="C16" s="9"/>
      <c r="D16" s="11"/>
      <c r="E16" s="11"/>
      <c r="F16" s="11"/>
      <c r="G16" s="11"/>
      <c r="H16" s="11"/>
      <c r="I16" s="11"/>
      <c r="J16" s="11"/>
    </row>
    <row r="17" customFormat="false" ht="15" hidden="false" customHeight="false" outlineLevel="0" collapsed="false">
      <c r="A17" s="5"/>
      <c r="B17" s="5"/>
      <c r="C17" s="5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9"/>
      <c r="B18" s="9"/>
      <c r="C18" s="9"/>
      <c r="D18" s="11"/>
      <c r="E18" s="11"/>
      <c r="F18" s="11"/>
      <c r="G18" s="11"/>
      <c r="H18" s="11"/>
      <c r="I18" s="11"/>
      <c r="J18" s="11"/>
    </row>
    <row r="19" customFormat="false" ht="15" hidden="false" customHeight="false" outlineLevel="0" collapsed="false">
      <c r="A19" s="5"/>
      <c r="B19" s="5"/>
      <c r="C19" s="5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9"/>
      <c r="B20" s="9"/>
      <c r="C20" s="9"/>
      <c r="D20" s="11"/>
      <c r="E20" s="11"/>
      <c r="F20" s="11"/>
      <c r="G20" s="11"/>
      <c r="H20" s="11"/>
      <c r="I20" s="11"/>
      <c r="J20" s="11"/>
    </row>
    <row r="21" customFormat="false" ht="15" hidden="false" customHeight="false" outlineLevel="0" collapsed="false">
      <c r="A21" s="5"/>
      <c r="B21" s="5"/>
      <c r="C21" s="5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9"/>
      <c r="B22" s="9"/>
      <c r="C22" s="9"/>
      <c r="D22" s="11"/>
      <c r="E22" s="11"/>
      <c r="F22" s="11"/>
      <c r="G22" s="11"/>
      <c r="H22" s="11"/>
      <c r="I22" s="11"/>
      <c r="J22" s="11"/>
    </row>
    <row r="23" customFormat="false" ht="15" hidden="false" customHeight="false" outlineLevel="0" collapsed="false">
      <c r="A23" s="5"/>
      <c r="B23" s="5"/>
      <c r="C23" s="5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9"/>
      <c r="B24" s="9"/>
      <c r="C24" s="9"/>
      <c r="D24" s="11"/>
      <c r="E24" s="11"/>
      <c r="F24" s="11"/>
      <c r="G24" s="11"/>
      <c r="H24" s="11"/>
      <c r="I24" s="11"/>
      <c r="J24" s="11"/>
    </row>
    <row r="25" customFormat="false" ht="15" hidden="false" customHeight="false" outlineLevel="0" collapsed="false">
      <c r="A25" s="5"/>
      <c r="B25" s="5"/>
      <c r="C25" s="5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9"/>
      <c r="B26" s="9"/>
      <c r="C26" s="9"/>
      <c r="D26" s="11"/>
      <c r="E26" s="11"/>
      <c r="F26" s="11"/>
      <c r="G26" s="11"/>
      <c r="H26" s="11"/>
      <c r="I26" s="11"/>
      <c r="J26" s="11"/>
    </row>
    <row r="27" customFormat="false" ht="15" hidden="false" customHeight="false" outlineLevel="0" collapsed="false">
      <c r="A27" s="5"/>
      <c r="B27" s="5"/>
      <c r="C27" s="5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9"/>
      <c r="B28" s="9"/>
      <c r="C28" s="9"/>
      <c r="D28" s="11"/>
      <c r="E28" s="11"/>
      <c r="F28" s="11"/>
      <c r="G28" s="11"/>
      <c r="H28" s="11"/>
      <c r="I28" s="11"/>
      <c r="J28" s="11"/>
    </row>
    <row r="29" customFormat="false" ht="15" hidden="false" customHeight="false" outlineLevel="0" collapsed="false">
      <c r="A29" s="5"/>
      <c r="B29" s="5"/>
      <c r="C29" s="5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9"/>
      <c r="B30" s="9"/>
      <c r="C30" s="9"/>
      <c r="D30" s="11"/>
      <c r="E30" s="11"/>
      <c r="F30" s="11"/>
      <c r="G30" s="11"/>
      <c r="H30" s="11"/>
      <c r="I30" s="11"/>
      <c r="J30" s="11"/>
    </row>
    <row r="31" customFormat="false" ht="15" hidden="false" customHeight="false" outlineLevel="0" collapsed="false">
      <c r="A31" s="5"/>
      <c r="B31" s="5"/>
      <c r="C31" s="5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9"/>
      <c r="B32" s="9"/>
      <c r="C32" s="9"/>
      <c r="D32" s="11"/>
      <c r="E32" s="11"/>
      <c r="F32" s="11"/>
      <c r="G32" s="11"/>
      <c r="H32" s="11"/>
      <c r="I32" s="11"/>
      <c r="J32" s="11"/>
    </row>
    <row r="33" customFormat="false" ht="15" hidden="false" customHeight="false" outlineLevel="0" collapsed="false">
      <c r="A33" s="5"/>
      <c r="B33" s="5"/>
      <c r="C33" s="5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9"/>
      <c r="B34" s="9"/>
      <c r="C34" s="9"/>
      <c r="D34" s="11"/>
      <c r="E34" s="11"/>
      <c r="F34" s="11"/>
      <c r="G34" s="11"/>
      <c r="H34" s="11"/>
      <c r="I34" s="11"/>
      <c r="J34" s="11"/>
    </row>
    <row r="35" customFormat="false" ht="15" hidden="false" customHeight="false" outlineLevel="0" collapsed="false">
      <c r="A35" s="5"/>
      <c r="B35" s="5"/>
      <c r="C35" s="5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9"/>
      <c r="B36" s="9"/>
      <c r="C36" s="9"/>
      <c r="D36" s="11"/>
      <c r="E36" s="11"/>
      <c r="F36" s="11"/>
      <c r="G36" s="11"/>
      <c r="H36" s="11"/>
      <c r="I36" s="11"/>
      <c r="J36" s="11"/>
    </row>
    <row r="37" customFormat="false" ht="15" hidden="false" customHeight="false" outlineLevel="0" collapsed="false">
      <c r="A37" s="5"/>
      <c r="B37" s="5"/>
      <c r="C37" s="5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9"/>
      <c r="B38" s="9"/>
      <c r="C38" s="9"/>
      <c r="D38" s="11"/>
      <c r="E38" s="11"/>
      <c r="F38" s="11"/>
      <c r="G38" s="11"/>
      <c r="H38" s="11"/>
      <c r="I38" s="11"/>
      <c r="J38" s="11"/>
    </row>
    <row r="39" customFormat="false" ht="15" hidden="false" customHeight="false" outlineLevel="0" collapsed="false">
      <c r="A39" s="5"/>
      <c r="B39" s="5"/>
      <c r="C39" s="5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9"/>
      <c r="B40" s="9"/>
      <c r="C40" s="9"/>
      <c r="D40" s="11"/>
      <c r="E40" s="11"/>
      <c r="F40" s="11"/>
      <c r="G40" s="11"/>
      <c r="H40" s="11"/>
      <c r="I40" s="11"/>
      <c r="J40" s="11"/>
    </row>
    <row r="41" customFormat="false" ht="15" hidden="false" customHeight="false" outlineLevel="0" collapsed="false">
      <c r="A41" s="5"/>
      <c r="B41" s="5"/>
      <c r="C41" s="5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9"/>
      <c r="B42" s="9"/>
      <c r="C42" s="9"/>
      <c r="D42" s="11"/>
      <c r="E42" s="11"/>
      <c r="F42" s="11"/>
      <c r="G42" s="11"/>
      <c r="H42" s="11"/>
      <c r="I42" s="11"/>
      <c r="J42" s="11"/>
    </row>
    <row r="43" customFormat="false" ht="15" hidden="false" customHeight="false" outlineLevel="0" collapsed="false">
      <c r="A43" s="5"/>
      <c r="B43" s="5"/>
      <c r="C43" s="5"/>
      <c r="D43" s="7"/>
      <c r="E43" s="7"/>
      <c r="F43" s="7"/>
      <c r="G43" s="7"/>
      <c r="H43" s="7"/>
      <c r="I43" s="7"/>
      <c r="J43" s="7"/>
    </row>
    <row r="44" customFormat="false" ht="15" hidden="false" customHeight="false" outlineLevel="0" collapsed="false">
      <c r="A44" s="9"/>
      <c r="B44" s="9"/>
      <c r="C44" s="9"/>
      <c r="D44" s="11"/>
      <c r="E44" s="11"/>
      <c r="F44" s="11"/>
      <c r="G44" s="11"/>
      <c r="H44" s="11"/>
      <c r="I44" s="11"/>
      <c r="J44" s="11"/>
    </row>
    <row r="45" customFormat="false" ht="15" hidden="false" customHeight="false" outlineLevel="0" collapsed="false">
      <c r="A45" s="5"/>
      <c r="B45" s="5"/>
      <c r="C45" s="5"/>
      <c r="D45" s="7"/>
      <c r="E45" s="7"/>
      <c r="F45" s="7"/>
      <c r="G45" s="7"/>
      <c r="H45" s="7"/>
      <c r="I45" s="7"/>
      <c r="J45" s="7"/>
    </row>
    <row r="46" customFormat="false" ht="15" hidden="false" customHeight="false" outlineLevel="0" collapsed="false">
      <c r="A46" s="9"/>
      <c r="B46" s="9"/>
      <c r="C46" s="9"/>
      <c r="D46" s="11"/>
      <c r="E46" s="11"/>
      <c r="F46" s="11"/>
      <c r="G46" s="11"/>
      <c r="H46" s="11"/>
      <c r="I46" s="11"/>
      <c r="J46" s="11"/>
    </row>
    <row r="47" customFormat="false" ht="15" hidden="false" customHeight="false" outlineLevel="0" collapsed="false">
      <c r="A47" s="5"/>
      <c r="B47" s="5"/>
      <c r="C47" s="5"/>
      <c r="D47" s="7"/>
      <c r="E47" s="7"/>
      <c r="F47" s="7"/>
      <c r="G47" s="7"/>
      <c r="H47" s="7"/>
      <c r="I47" s="7"/>
      <c r="J47" s="7"/>
    </row>
    <row r="48" customFormat="false" ht="15" hidden="false" customHeight="false" outlineLevel="0" collapsed="false">
      <c r="A48" s="9"/>
      <c r="B48" s="9"/>
      <c r="C48" s="9"/>
      <c r="D48" s="11"/>
      <c r="E48" s="11"/>
      <c r="F48" s="11"/>
      <c r="G48" s="11"/>
      <c r="H48" s="11"/>
      <c r="I48" s="11"/>
      <c r="J48" s="11"/>
    </row>
    <row r="49" customFormat="false" ht="15" hidden="false" customHeight="false" outlineLevel="0" collapsed="false">
      <c r="A49" s="5"/>
      <c r="B49" s="5"/>
      <c r="C49" s="5"/>
      <c r="D49" s="7"/>
      <c r="E49" s="7"/>
      <c r="F49" s="7"/>
      <c r="G49" s="7"/>
      <c r="H49" s="7"/>
      <c r="I49" s="7"/>
      <c r="J49" s="7"/>
    </row>
    <row r="50" customFormat="false" ht="15" hidden="false" customHeight="false" outlineLevel="0" collapsed="false">
      <c r="A50" s="9"/>
      <c r="B50" s="9"/>
      <c r="C50" s="9"/>
      <c r="D50" s="11"/>
      <c r="E50" s="11"/>
      <c r="F50" s="11"/>
      <c r="G50" s="11"/>
      <c r="H50" s="11"/>
      <c r="I50" s="11"/>
      <c r="J50" s="11"/>
    </row>
    <row r="51" customFormat="false" ht="15" hidden="false" customHeight="false" outlineLevel="0" collapsed="false">
      <c r="A51" s="5"/>
      <c r="B51" s="5"/>
      <c r="C51" s="5"/>
      <c r="D51" s="7"/>
      <c r="E51" s="7"/>
      <c r="F51" s="7"/>
      <c r="G51" s="7"/>
      <c r="H51" s="7"/>
      <c r="I51" s="7"/>
      <c r="J51" s="7"/>
    </row>
    <row r="52" customFormat="false" ht="15" hidden="false" customHeight="false" outlineLevel="0" collapsed="false">
      <c r="A52" s="9"/>
      <c r="B52" s="9"/>
      <c r="C52" s="9"/>
      <c r="D52" s="11"/>
      <c r="E52" s="11"/>
      <c r="F52" s="11"/>
      <c r="G52" s="11"/>
      <c r="H52" s="11"/>
      <c r="I52" s="11"/>
      <c r="J52" s="11"/>
    </row>
    <row r="53" customFormat="false" ht="15" hidden="false" customHeight="false" outlineLevel="0" collapsed="false">
      <c r="A53" s="5"/>
      <c r="B53" s="5"/>
      <c r="C53" s="5"/>
      <c r="D53" s="7"/>
      <c r="E53" s="7"/>
      <c r="F53" s="7"/>
      <c r="G53" s="7"/>
      <c r="H53" s="7"/>
      <c r="I53" s="7"/>
      <c r="J53" s="7"/>
    </row>
    <row r="54" customFormat="false" ht="15" hidden="false" customHeight="false" outlineLevel="0" collapsed="false">
      <c r="A54" s="9"/>
      <c r="B54" s="9"/>
      <c r="C54" s="9"/>
      <c r="D54" s="11"/>
      <c r="E54" s="11"/>
      <c r="F54" s="11"/>
      <c r="G54" s="11"/>
      <c r="H54" s="11"/>
      <c r="I54" s="11"/>
      <c r="J54" s="11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false" outlineLevel="0" collapsed="false">
      <c r="A56" s="12" t="s">
        <v>37</v>
      </c>
      <c r="B56" s="12"/>
      <c r="C56" s="12"/>
      <c r="D56" s="12"/>
      <c r="E56" s="12"/>
      <c r="F56" s="12"/>
      <c r="G56" s="12"/>
      <c r="H56" s="12"/>
      <c r="I56" s="12"/>
      <c r="J56" s="12"/>
    </row>
    <row r="57" customFormat="false" ht="15" hidden="false" customHeight="false" outlineLevel="0" collapsed="false">
      <c r="A57" s="13" t="s">
        <v>38</v>
      </c>
      <c r="B57" s="14" t="n">
        <f aca="false">COUNTIF(B5:B54,"R")</f>
        <v>0</v>
      </c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false" outlineLevel="0" collapsed="false">
      <c r="A58" s="13" t="s">
        <v>39</v>
      </c>
      <c r="B58" s="14" t="n">
        <f aca="false">COUNTIF(B5:B54,"F")</f>
        <v>0</v>
      </c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false" outlineLevel="0" collapsed="false">
      <c r="A59" s="13" t="s">
        <v>40</v>
      </c>
      <c r="B59" s="17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false" outlineLevel="0" collapsed="false">
      <c r="A60" s="13" t="s">
        <v>41</v>
      </c>
      <c r="B60" s="14" t="n">
        <f aca="false">COUNTIF(I5:I54,"Oui")</f>
        <v>0</v>
      </c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false" outlineLevel="0" collapsed="false">
      <c r="A61" s="13" t="s">
        <v>42</v>
      </c>
      <c r="B61" s="17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</sheetData>
  <mergeCells count="3">
    <mergeCell ref="A1:J1"/>
    <mergeCell ref="A2:J2"/>
    <mergeCell ref="A56:J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5"/>
    <col collapsed="false" customWidth="true" hidden="false" outlineLevel="0" max="8" min="8" style="0" width="45"/>
    <col collapsed="false" customWidth="true" hidden="false" outlineLevel="0" max="9" min="9" style="0" width="25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6.85" hidden="false" customHeight="false" outlineLevel="0" collapsed="false">
      <c r="A4" s="4" t="s">
        <v>3</v>
      </c>
      <c r="B4" s="4" t="s">
        <v>45</v>
      </c>
      <c r="C4" s="4" t="s">
        <v>2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</row>
    <row r="5" customFormat="false" ht="15" hidden="false" customHeight="false" outlineLevel="0" collapsed="false">
      <c r="A5" s="5" t="s">
        <v>55</v>
      </c>
      <c r="B5" s="5" t="s">
        <v>56</v>
      </c>
      <c r="C5" s="5"/>
      <c r="D5" s="18" t="s">
        <v>57</v>
      </c>
      <c r="E5" s="7" t="s">
        <v>58</v>
      </c>
      <c r="F5" s="7" t="s">
        <v>59</v>
      </c>
      <c r="G5" s="7" t="s">
        <v>60</v>
      </c>
      <c r="H5" s="7"/>
      <c r="I5" s="7"/>
      <c r="J5" s="7"/>
      <c r="K5" s="7"/>
      <c r="L5" s="5"/>
    </row>
    <row r="6" customFormat="false" ht="15" hidden="false" customHeight="false" outlineLevel="0" collapsed="false">
      <c r="A6" s="9" t="s">
        <v>55</v>
      </c>
      <c r="B6" s="9" t="s">
        <v>61</v>
      </c>
      <c r="C6" s="9"/>
      <c r="D6" s="19" t="s">
        <v>57</v>
      </c>
      <c r="E6" s="11" t="s">
        <v>62</v>
      </c>
      <c r="F6" s="11" t="s">
        <v>63</v>
      </c>
      <c r="G6" s="11" t="s">
        <v>64</v>
      </c>
      <c r="H6" s="11"/>
      <c r="I6" s="11"/>
      <c r="J6" s="11"/>
      <c r="K6" s="11"/>
      <c r="L6" s="9"/>
    </row>
    <row r="7" customFormat="false" ht="15" hidden="false" customHeight="false" outlineLevel="0" collapsed="false">
      <c r="A7" s="5" t="s">
        <v>55</v>
      </c>
      <c r="B7" s="5" t="s">
        <v>65</v>
      </c>
      <c r="C7" s="5"/>
      <c r="D7" s="18" t="s">
        <v>57</v>
      </c>
      <c r="E7" s="7" t="s">
        <v>66</v>
      </c>
      <c r="F7" s="7" t="s">
        <v>67</v>
      </c>
      <c r="G7" s="7" t="s">
        <v>68</v>
      </c>
      <c r="H7" s="7"/>
      <c r="I7" s="7"/>
      <c r="J7" s="7"/>
      <c r="K7" s="7"/>
      <c r="L7" s="5"/>
    </row>
    <row r="8" customFormat="false" ht="23.85" hidden="false" customHeight="false" outlineLevel="0" collapsed="false">
      <c r="A8" s="9" t="s">
        <v>55</v>
      </c>
      <c r="B8" s="9" t="s">
        <v>69</v>
      </c>
      <c r="C8" s="9"/>
      <c r="D8" s="19" t="s">
        <v>57</v>
      </c>
      <c r="E8" s="11" t="s">
        <v>70</v>
      </c>
      <c r="F8" s="11" t="s">
        <v>71</v>
      </c>
      <c r="G8" s="11" t="s">
        <v>72</v>
      </c>
      <c r="H8" s="11"/>
      <c r="I8" s="11"/>
      <c r="J8" s="11"/>
      <c r="K8" s="11"/>
      <c r="L8" s="9"/>
    </row>
    <row r="9" customFormat="false" ht="15" hidden="false" customHeight="false" outlineLevel="0" collapsed="false">
      <c r="A9" s="5" t="s">
        <v>55</v>
      </c>
      <c r="B9" s="5" t="s">
        <v>73</v>
      </c>
      <c r="C9" s="5"/>
      <c r="D9" s="18" t="s">
        <v>57</v>
      </c>
      <c r="E9" s="7" t="s">
        <v>74</v>
      </c>
      <c r="F9" s="7" t="s">
        <v>59</v>
      </c>
      <c r="G9" s="7" t="s">
        <v>75</v>
      </c>
      <c r="H9" s="7"/>
      <c r="I9" s="7"/>
      <c r="J9" s="7"/>
      <c r="K9" s="7"/>
      <c r="L9" s="5"/>
    </row>
    <row r="10" customFormat="false" ht="15" hidden="false" customHeight="false" outlineLevel="0" collapsed="false">
      <c r="A10" s="9" t="s">
        <v>55</v>
      </c>
      <c r="B10" s="9" t="s">
        <v>56</v>
      </c>
      <c r="C10" s="9"/>
      <c r="D10" s="20" t="s">
        <v>76</v>
      </c>
      <c r="E10" s="11" t="s">
        <v>77</v>
      </c>
      <c r="F10" s="11" t="s">
        <v>63</v>
      </c>
      <c r="G10" s="11" t="s">
        <v>78</v>
      </c>
      <c r="H10" s="11"/>
      <c r="I10" s="11"/>
      <c r="J10" s="11"/>
      <c r="K10" s="11"/>
      <c r="L10" s="9"/>
    </row>
    <row r="11" customFormat="false" ht="15" hidden="false" customHeight="false" outlineLevel="0" collapsed="false">
      <c r="A11" s="5" t="s">
        <v>55</v>
      </c>
      <c r="B11" s="5" t="s">
        <v>61</v>
      </c>
      <c r="C11" s="5"/>
      <c r="D11" s="21" t="s">
        <v>76</v>
      </c>
      <c r="E11" s="7" t="s">
        <v>79</v>
      </c>
      <c r="F11" s="7" t="s">
        <v>59</v>
      </c>
      <c r="G11" s="7" t="s">
        <v>80</v>
      </c>
      <c r="H11" s="7"/>
      <c r="I11" s="7"/>
      <c r="J11" s="7"/>
      <c r="K11" s="7"/>
      <c r="L11" s="5"/>
    </row>
    <row r="12" customFormat="false" ht="15" hidden="false" customHeight="false" outlineLevel="0" collapsed="false">
      <c r="A12" s="9" t="s">
        <v>55</v>
      </c>
      <c r="B12" s="9" t="s">
        <v>65</v>
      </c>
      <c r="C12" s="9"/>
      <c r="D12" s="20" t="s">
        <v>76</v>
      </c>
      <c r="E12" s="11" t="s">
        <v>81</v>
      </c>
      <c r="F12" s="11" t="s">
        <v>82</v>
      </c>
      <c r="G12" s="11" t="s">
        <v>83</v>
      </c>
      <c r="H12" s="11"/>
      <c r="I12" s="11"/>
      <c r="J12" s="11"/>
      <c r="K12" s="11"/>
      <c r="L12" s="9"/>
    </row>
    <row r="13" customFormat="false" ht="15" hidden="false" customHeight="false" outlineLevel="0" collapsed="false">
      <c r="A13" s="5" t="s">
        <v>55</v>
      </c>
      <c r="B13" s="5" t="s">
        <v>69</v>
      </c>
      <c r="C13" s="5"/>
      <c r="D13" s="21" t="s">
        <v>76</v>
      </c>
      <c r="E13" s="7" t="s">
        <v>79</v>
      </c>
      <c r="F13" s="7" t="s">
        <v>63</v>
      </c>
      <c r="G13" s="7" t="s">
        <v>84</v>
      </c>
      <c r="H13" s="7"/>
      <c r="I13" s="7"/>
      <c r="J13" s="7"/>
      <c r="K13" s="7"/>
      <c r="L13" s="5"/>
    </row>
    <row r="14" customFormat="false" ht="15" hidden="false" customHeight="false" outlineLevel="0" collapsed="false">
      <c r="A14" s="9" t="s">
        <v>55</v>
      </c>
      <c r="B14" s="9" t="s">
        <v>73</v>
      </c>
      <c r="C14" s="9"/>
      <c r="D14" s="20" t="s">
        <v>76</v>
      </c>
      <c r="E14" s="11" t="s">
        <v>74</v>
      </c>
      <c r="F14" s="11" t="s">
        <v>63</v>
      </c>
      <c r="G14" s="11" t="s">
        <v>85</v>
      </c>
      <c r="H14" s="11"/>
      <c r="I14" s="11"/>
      <c r="J14" s="11"/>
      <c r="K14" s="11"/>
      <c r="L14" s="9"/>
    </row>
    <row r="15" customFormat="false" ht="15" hidden="false" customHeight="false" outlineLevel="0" collapsed="false">
      <c r="A15" s="5" t="s">
        <v>55</v>
      </c>
      <c r="B15" s="5" t="s">
        <v>56</v>
      </c>
      <c r="C15" s="5"/>
      <c r="D15" s="22" t="s">
        <v>86</v>
      </c>
      <c r="E15" s="7" t="s">
        <v>74</v>
      </c>
      <c r="F15" s="7" t="s">
        <v>63</v>
      </c>
      <c r="G15" s="7" t="s">
        <v>87</v>
      </c>
      <c r="H15" s="7"/>
      <c r="I15" s="7"/>
      <c r="J15" s="7"/>
      <c r="K15" s="7"/>
      <c r="L15" s="5"/>
    </row>
    <row r="16" customFormat="false" ht="15" hidden="false" customHeight="false" outlineLevel="0" collapsed="false">
      <c r="A16" s="9" t="s">
        <v>55</v>
      </c>
      <c r="B16" s="9" t="s">
        <v>61</v>
      </c>
      <c r="C16" s="9"/>
      <c r="D16" s="23" t="s">
        <v>86</v>
      </c>
      <c r="E16" s="11" t="s">
        <v>88</v>
      </c>
      <c r="F16" s="11" t="s">
        <v>63</v>
      </c>
      <c r="G16" s="11" t="s">
        <v>89</v>
      </c>
      <c r="H16" s="11"/>
      <c r="I16" s="11"/>
      <c r="J16" s="11"/>
      <c r="K16" s="11"/>
      <c r="L16" s="9"/>
    </row>
    <row r="17" customFormat="false" ht="15" hidden="false" customHeight="false" outlineLevel="0" collapsed="false">
      <c r="A17" s="5" t="s">
        <v>55</v>
      </c>
      <c r="B17" s="5" t="s">
        <v>65</v>
      </c>
      <c r="C17" s="5"/>
      <c r="D17" s="22" t="s">
        <v>86</v>
      </c>
      <c r="E17" s="7" t="s">
        <v>90</v>
      </c>
      <c r="F17" s="7" t="s">
        <v>91</v>
      </c>
      <c r="G17" s="7" t="s">
        <v>92</v>
      </c>
      <c r="H17" s="7"/>
      <c r="I17" s="7"/>
      <c r="J17" s="7"/>
      <c r="K17" s="7"/>
      <c r="L17" s="5"/>
    </row>
    <row r="18" customFormat="false" ht="15" hidden="false" customHeight="false" outlineLevel="0" collapsed="false">
      <c r="A18" s="9" t="s">
        <v>55</v>
      </c>
      <c r="B18" s="9" t="s">
        <v>69</v>
      </c>
      <c r="C18" s="9"/>
      <c r="D18" s="23" t="s">
        <v>86</v>
      </c>
      <c r="E18" s="11" t="s">
        <v>93</v>
      </c>
      <c r="F18" s="11" t="s">
        <v>63</v>
      </c>
      <c r="G18" s="11" t="s">
        <v>94</v>
      </c>
      <c r="H18" s="11"/>
      <c r="I18" s="11"/>
      <c r="J18" s="11"/>
      <c r="K18" s="11"/>
      <c r="L18" s="9"/>
    </row>
    <row r="19" customFormat="false" ht="15" hidden="false" customHeight="false" outlineLevel="0" collapsed="false">
      <c r="A19" s="5" t="s">
        <v>55</v>
      </c>
      <c r="B19" s="5" t="s">
        <v>73</v>
      </c>
      <c r="C19" s="5"/>
      <c r="D19" s="22" t="s">
        <v>86</v>
      </c>
      <c r="E19" s="7" t="s">
        <v>74</v>
      </c>
      <c r="F19" s="7" t="s">
        <v>63</v>
      </c>
      <c r="G19" s="7" t="s">
        <v>95</v>
      </c>
      <c r="H19" s="7"/>
      <c r="I19" s="7"/>
      <c r="J19" s="7"/>
      <c r="K19" s="7"/>
      <c r="L19" s="5"/>
    </row>
    <row r="20" customFormat="false" ht="15" hidden="false" customHeight="false" outlineLevel="0" collapsed="false">
      <c r="A20" s="9"/>
      <c r="B20" s="9"/>
      <c r="C20" s="9"/>
      <c r="D20" s="11"/>
      <c r="E20" s="11"/>
      <c r="F20" s="11"/>
      <c r="G20" s="11"/>
      <c r="H20" s="11"/>
      <c r="I20" s="11"/>
      <c r="J20" s="11"/>
      <c r="K20" s="11"/>
      <c r="L20" s="9"/>
    </row>
    <row r="21" customFormat="false" ht="15" hidden="false" customHeight="false" outlineLevel="0" collapsed="false">
      <c r="A21" s="5"/>
      <c r="B21" s="5"/>
      <c r="C21" s="5"/>
      <c r="D21" s="7"/>
      <c r="E21" s="7"/>
      <c r="F21" s="7"/>
      <c r="G21" s="7"/>
      <c r="H21" s="7"/>
      <c r="I21" s="7"/>
      <c r="J21" s="7"/>
      <c r="K21" s="7"/>
      <c r="L21" s="5"/>
    </row>
    <row r="22" customFormat="false" ht="15" hidden="false" customHeight="false" outlineLevel="0" collapsed="false">
      <c r="A22" s="9"/>
      <c r="B22" s="9"/>
      <c r="C22" s="9"/>
      <c r="D22" s="11"/>
      <c r="E22" s="11"/>
      <c r="F22" s="11"/>
      <c r="G22" s="11"/>
      <c r="H22" s="11"/>
      <c r="I22" s="11"/>
      <c r="J22" s="11"/>
      <c r="K22" s="11"/>
      <c r="L22" s="9"/>
    </row>
    <row r="23" customFormat="false" ht="15" hidden="false" customHeight="false" outlineLevel="0" collapsed="false">
      <c r="A23" s="5"/>
      <c r="B23" s="5"/>
      <c r="C23" s="5"/>
      <c r="D23" s="7"/>
      <c r="E23" s="7"/>
      <c r="F23" s="7"/>
      <c r="G23" s="7"/>
      <c r="H23" s="7"/>
      <c r="I23" s="7"/>
      <c r="J23" s="7"/>
      <c r="K23" s="7"/>
      <c r="L23" s="5"/>
    </row>
    <row r="24" customFormat="false" ht="15" hidden="false" customHeight="false" outlineLevel="0" collapsed="false">
      <c r="A24" s="9"/>
      <c r="B24" s="9"/>
      <c r="C24" s="9"/>
      <c r="D24" s="11"/>
      <c r="E24" s="11"/>
      <c r="F24" s="11"/>
      <c r="G24" s="11"/>
      <c r="H24" s="11"/>
      <c r="I24" s="11"/>
      <c r="J24" s="11"/>
      <c r="K24" s="11"/>
      <c r="L24" s="9"/>
    </row>
    <row r="25" customFormat="false" ht="15" hidden="false" customHeight="false" outlineLevel="0" collapsed="false">
      <c r="A25" s="5"/>
      <c r="B25" s="5"/>
      <c r="C25" s="5"/>
      <c r="D25" s="7"/>
      <c r="E25" s="7"/>
      <c r="F25" s="7"/>
      <c r="G25" s="7"/>
      <c r="H25" s="7"/>
      <c r="I25" s="7"/>
      <c r="J25" s="7"/>
      <c r="K25" s="7"/>
      <c r="L25" s="5"/>
    </row>
    <row r="26" customFormat="false" ht="15" hidden="false" customHeight="false" outlineLevel="0" collapsed="false">
      <c r="A26" s="9"/>
      <c r="B26" s="9"/>
      <c r="C26" s="9"/>
      <c r="D26" s="11"/>
      <c r="E26" s="11"/>
      <c r="F26" s="11"/>
      <c r="G26" s="11"/>
      <c r="H26" s="11"/>
      <c r="I26" s="11"/>
      <c r="J26" s="11"/>
      <c r="K26" s="11"/>
      <c r="L26" s="9"/>
    </row>
    <row r="27" customFormat="false" ht="15" hidden="false" customHeight="false" outlineLevel="0" collapsed="false">
      <c r="A27" s="5"/>
      <c r="B27" s="5"/>
      <c r="C27" s="5"/>
      <c r="D27" s="7"/>
      <c r="E27" s="7"/>
      <c r="F27" s="7"/>
      <c r="G27" s="7"/>
      <c r="H27" s="7"/>
      <c r="I27" s="7"/>
      <c r="J27" s="7"/>
      <c r="K27" s="7"/>
      <c r="L27" s="5"/>
    </row>
    <row r="28" customFormat="false" ht="15" hidden="false" customHeight="false" outlineLevel="0" collapsed="false">
      <c r="A28" s="9"/>
      <c r="B28" s="9"/>
      <c r="C28" s="9"/>
      <c r="D28" s="11"/>
      <c r="E28" s="11"/>
      <c r="F28" s="11"/>
      <c r="G28" s="11"/>
      <c r="H28" s="11"/>
      <c r="I28" s="11"/>
      <c r="J28" s="11"/>
      <c r="K28" s="11"/>
      <c r="L28" s="9"/>
    </row>
    <row r="29" customFormat="false" ht="15" hidden="false" customHeight="false" outlineLevel="0" collapsed="false">
      <c r="A29" s="5"/>
      <c r="B29" s="5"/>
      <c r="C29" s="5"/>
      <c r="D29" s="7"/>
      <c r="E29" s="7"/>
      <c r="F29" s="7"/>
      <c r="G29" s="7"/>
      <c r="H29" s="7"/>
      <c r="I29" s="7"/>
      <c r="J29" s="7"/>
      <c r="K29" s="7"/>
      <c r="L29" s="5"/>
    </row>
    <row r="30" customFormat="false" ht="15" hidden="false" customHeight="false" outlineLevel="0" collapsed="false">
      <c r="A30" s="9"/>
      <c r="B30" s="9"/>
      <c r="C30" s="9"/>
      <c r="D30" s="11"/>
      <c r="E30" s="11"/>
      <c r="F30" s="11"/>
      <c r="G30" s="11"/>
      <c r="H30" s="11"/>
      <c r="I30" s="11"/>
      <c r="J30" s="11"/>
      <c r="K30" s="11"/>
      <c r="L30" s="9"/>
    </row>
    <row r="31" customFormat="false" ht="15" hidden="false" customHeight="false" outlineLevel="0" collapsed="false">
      <c r="A31" s="5"/>
      <c r="B31" s="5"/>
      <c r="C31" s="5"/>
      <c r="D31" s="7"/>
      <c r="E31" s="7"/>
      <c r="F31" s="7"/>
      <c r="G31" s="7"/>
      <c r="H31" s="7"/>
      <c r="I31" s="7"/>
      <c r="J31" s="7"/>
      <c r="K31" s="7"/>
      <c r="L31" s="5"/>
    </row>
    <row r="32" customFormat="false" ht="15" hidden="false" customHeight="false" outlineLevel="0" collapsed="false">
      <c r="A32" s="9"/>
      <c r="B32" s="9"/>
      <c r="C32" s="9"/>
      <c r="D32" s="11"/>
      <c r="E32" s="11"/>
      <c r="F32" s="11"/>
      <c r="G32" s="11"/>
      <c r="H32" s="11"/>
      <c r="I32" s="11"/>
      <c r="J32" s="11"/>
      <c r="K32" s="11"/>
      <c r="L32" s="9"/>
    </row>
    <row r="33" customFormat="false" ht="15" hidden="false" customHeight="false" outlineLevel="0" collapsed="false">
      <c r="A33" s="5"/>
      <c r="B33" s="5"/>
      <c r="C33" s="5"/>
      <c r="D33" s="7"/>
      <c r="E33" s="7"/>
      <c r="F33" s="7"/>
      <c r="G33" s="7"/>
      <c r="H33" s="7"/>
      <c r="I33" s="7"/>
      <c r="J33" s="7"/>
      <c r="K33" s="7"/>
      <c r="L33" s="5"/>
    </row>
    <row r="34" customFormat="false" ht="15" hidden="false" customHeight="false" outlineLevel="0" collapsed="false">
      <c r="A34" s="9"/>
      <c r="B34" s="9"/>
      <c r="C34" s="9"/>
      <c r="D34" s="11"/>
      <c r="E34" s="11"/>
      <c r="F34" s="11"/>
      <c r="G34" s="11"/>
      <c r="H34" s="11"/>
      <c r="I34" s="11"/>
      <c r="J34" s="11"/>
      <c r="K34" s="11"/>
      <c r="L34" s="9"/>
    </row>
    <row r="35" customFormat="false" ht="15" hidden="false" customHeight="false" outlineLevel="0" collapsed="false">
      <c r="A35" s="5"/>
      <c r="B35" s="5"/>
      <c r="C35" s="5"/>
      <c r="D35" s="7"/>
      <c r="E35" s="7"/>
      <c r="F35" s="7"/>
      <c r="G35" s="7"/>
      <c r="H35" s="7"/>
      <c r="I35" s="7"/>
      <c r="J35" s="7"/>
      <c r="K35" s="7"/>
      <c r="L35" s="5"/>
    </row>
    <row r="36" customFormat="false" ht="15" hidden="false" customHeight="false" outlineLevel="0" collapsed="false">
      <c r="A36" s="9"/>
      <c r="B36" s="9"/>
      <c r="C36" s="9"/>
      <c r="D36" s="11"/>
      <c r="E36" s="11"/>
      <c r="F36" s="11"/>
      <c r="G36" s="11"/>
      <c r="H36" s="11"/>
      <c r="I36" s="11"/>
      <c r="J36" s="11"/>
      <c r="K36" s="11"/>
      <c r="L36" s="9"/>
    </row>
    <row r="37" customFormat="false" ht="15" hidden="false" customHeight="false" outlineLevel="0" collapsed="false">
      <c r="A37" s="5"/>
      <c r="B37" s="5"/>
      <c r="C37" s="5"/>
      <c r="D37" s="7"/>
      <c r="E37" s="7"/>
      <c r="F37" s="7"/>
      <c r="G37" s="7"/>
      <c r="H37" s="7"/>
      <c r="I37" s="7"/>
      <c r="J37" s="7"/>
      <c r="K37" s="7"/>
      <c r="L37" s="5"/>
    </row>
    <row r="38" customFormat="false" ht="15" hidden="false" customHeight="false" outlineLevel="0" collapsed="false">
      <c r="A38" s="9"/>
      <c r="B38" s="9"/>
      <c r="C38" s="9"/>
      <c r="D38" s="11"/>
      <c r="E38" s="11"/>
      <c r="F38" s="11"/>
      <c r="G38" s="11"/>
      <c r="H38" s="11"/>
      <c r="I38" s="11"/>
      <c r="J38" s="11"/>
      <c r="K38" s="11"/>
      <c r="L38" s="9"/>
    </row>
    <row r="39" customFormat="false" ht="15" hidden="false" customHeight="false" outlineLevel="0" collapsed="false">
      <c r="A39" s="5"/>
      <c r="B39" s="5"/>
      <c r="C39" s="5"/>
      <c r="D39" s="7"/>
      <c r="E39" s="7"/>
      <c r="F39" s="7"/>
      <c r="G39" s="7"/>
      <c r="H39" s="7"/>
      <c r="I39" s="7"/>
      <c r="J39" s="7"/>
      <c r="K39" s="7"/>
      <c r="L39" s="5"/>
    </row>
    <row r="40" customFormat="false" ht="15" hidden="false" customHeight="false" outlineLevel="0" collapsed="false">
      <c r="A40" s="9"/>
      <c r="B40" s="9"/>
      <c r="C40" s="9"/>
      <c r="D40" s="11"/>
      <c r="E40" s="11"/>
      <c r="F40" s="11"/>
      <c r="G40" s="11"/>
      <c r="H40" s="11"/>
      <c r="I40" s="11"/>
      <c r="J40" s="11"/>
      <c r="K40" s="11"/>
      <c r="L40" s="9"/>
    </row>
    <row r="41" customFormat="false" ht="15" hidden="false" customHeight="false" outlineLevel="0" collapsed="false">
      <c r="A41" s="5"/>
      <c r="B41" s="5"/>
      <c r="C41" s="5"/>
      <c r="D41" s="7"/>
      <c r="E41" s="7"/>
      <c r="F41" s="7"/>
      <c r="G41" s="7"/>
      <c r="H41" s="7"/>
      <c r="I41" s="7"/>
      <c r="J41" s="7"/>
      <c r="K41" s="7"/>
      <c r="L41" s="5"/>
    </row>
    <row r="42" customFormat="false" ht="15" hidden="false" customHeight="false" outlineLevel="0" collapsed="false">
      <c r="A42" s="9"/>
      <c r="B42" s="9"/>
      <c r="C42" s="9"/>
      <c r="D42" s="11"/>
      <c r="E42" s="11"/>
      <c r="F42" s="11"/>
      <c r="G42" s="11"/>
      <c r="H42" s="11"/>
      <c r="I42" s="11"/>
      <c r="J42" s="11"/>
      <c r="K42" s="11"/>
      <c r="L42" s="9"/>
    </row>
    <row r="43" customFormat="false" ht="15" hidden="false" customHeight="false" outlineLevel="0" collapsed="false">
      <c r="A43" s="5"/>
      <c r="B43" s="5"/>
      <c r="C43" s="5"/>
      <c r="D43" s="7"/>
      <c r="E43" s="7"/>
      <c r="F43" s="7"/>
      <c r="G43" s="7"/>
      <c r="H43" s="7"/>
      <c r="I43" s="7"/>
      <c r="J43" s="7"/>
      <c r="K43" s="7"/>
      <c r="L43" s="5"/>
    </row>
    <row r="44" customFormat="false" ht="15" hidden="false" customHeight="false" outlineLevel="0" collapsed="false">
      <c r="A44" s="9"/>
      <c r="B44" s="9"/>
      <c r="C44" s="9"/>
      <c r="D44" s="11"/>
      <c r="E44" s="11"/>
      <c r="F44" s="11"/>
      <c r="G44" s="11"/>
      <c r="H44" s="11"/>
      <c r="I44" s="11"/>
      <c r="J44" s="11"/>
      <c r="K44" s="11"/>
      <c r="L44" s="9"/>
    </row>
    <row r="45" customFormat="false" ht="15" hidden="false" customHeight="false" outlineLevel="0" collapsed="false">
      <c r="A45" s="5"/>
      <c r="B45" s="5"/>
      <c r="C45" s="5"/>
      <c r="D45" s="7"/>
      <c r="E45" s="7"/>
      <c r="F45" s="7"/>
      <c r="G45" s="7"/>
      <c r="H45" s="7"/>
      <c r="I45" s="7"/>
      <c r="J45" s="7"/>
      <c r="K45" s="7"/>
      <c r="L45" s="5"/>
    </row>
    <row r="46" customFormat="false" ht="15" hidden="false" customHeight="false" outlineLevel="0" collapsed="false">
      <c r="A46" s="9"/>
      <c r="B46" s="9"/>
      <c r="C46" s="9"/>
      <c r="D46" s="11"/>
      <c r="E46" s="11"/>
      <c r="F46" s="11"/>
      <c r="G46" s="11"/>
      <c r="H46" s="11"/>
      <c r="I46" s="11"/>
      <c r="J46" s="11"/>
      <c r="K46" s="11"/>
      <c r="L46" s="9"/>
    </row>
    <row r="47" customFormat="false" ht="15" hidden="false" customHeight="false" outlineLevel="0" collapsed="false">
      <c r="A47" s="5"/>
      <c r="B47" s="5"/>
      <c r="C47" s="5"/>
      <c r="D47" s="7"/>
      <c r="E47" s="7"/>
      <c r="F47" s="7"/>
      <c r="G47" s="7"/>
      <c r="H47" s="7"/>
      <c r="I47" s="7"/>
      <c r="J47" s="7"/>
      <c r="K47" s="7"/>
      <c r="L47" s="5"/>
    </row>
    <row r="48" customFormat="false" ht="15" hidden="false" customHeight="false" outlineLevel="0" collapsed="false">
      <c r="A48" s="9"/>
      <c r="B48" s="9"/>
      <c r="C48" s="9"/>
      <c r="D48" s="11"/>
      <c r="E48" s="11"/>
      <c r="F48" s="11"/>
      <c r="G48" s="11"/>
      <c r="H48" s="11"/>
      <c r="I48" s="11"/>
      <c r="J48" s="11"/>
      <c r="K48" s="11"/>
      <c r="L48" s="9"/>
    </row>
    <row r="49" customFormat="false" ht="15" hidden="false" customHeight="false" outlineLevel="0" collapsed="false">
      <c r="A49" s="5"/>
      <c r="B49" s="5"/>
      <c r="C49" s="5"/>
      <c r="D49" s="7"/>
      <c r="E49" s="7"/>
      <c r="F49" s="7"/>
      <c r="G49" s="7"/>
      <c r="H49" s="7"/>
      <c r="I49" s="7"/>
      <c r="J49" s="7"/>
      <c r="K49" s="7"/>
      <c r="L49" s="5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BF24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8"/>
    <col collapsed="false" customWidth="true" hidden="false" outlineLevel="0" max="7" min="4" style="0" width="16"/>
    <col collapsed="false" customWidth="true" hidden="false" outlineLevel="0" max="8" min="8" style="0" width="35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97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12" t="s">
        <v>98</v>
      </c>
      <c r="B4" s="12"/>
      <c r="C4" s="12"/>
      <c r="D4" s="12"/>
      <c r="E4" s="12"/>
      <c r="F4" s="12"/>
      <c r="G4" s="12"/>
      <c r="H4" s="12"/>
    </row>
    <row r="5" customFormat="false" ht="26.85" hidden="false" customHeight="false" outlineLevel="0" collapsed="false">
      <c r="A5" s="4" t="s">
        <v>3</v>
      </c>
      <c r="B5" s="4" t="s">
        <v>99</v>
      </c>
      <c r="C5" s="4" t="s">
        <v>100</v>
      </c>
      <c r="D5" s="4" t="s">
        <v>101</v>
      </c>
      <c r="E5" s="4" t="s">
        <v>102</v>
      </c>
      <c r="F5" s="4" t="s">
        <v>21</v>
      </c>
      <c r="G5" s="4" t="s">
        <v>22</v>
      </c>
      <c r="H5" s="4" t="s">
        <v>103</v>
      </c>
    </row>
    <row r="6" customFormat="false" ht="15" hidden="false" customHeight="false" outlineLevel="0" collapsed="false">
      <c r="A6" s="9" t="s">
        <v>104</v>
      </c>
      <c r="B6" s="9"/>
      <c r="C6" s="9"/>
      <c r="D6" s="11"/>
      <c r="E6" s="11"/>
      <c r="F6" s="11"/>
      <c r="G6" s="11"/>
      <c r="H6" s="11"/>
    </row>
    <row r="7" customFormat="false" ht="15" hidden="false" customHeight="false" outlineLevel="0" collapsed="false">
      <c r="A7" s="5" t="s">
        <v>105</v>
      </c>
      <c r="B7" s="5"/>
      <c r="C7" s="5"/>
      <c r="D7" s="7"/>
      <c r="E7" s="7"/>
      <c r="F7" s="7"/>
      <c r="G7" s="7"/>
      <c r="H7" s="7"/>
    </row>
    <row r="8" customFormat="false" ht="15" hidden="false" customHeight="false" outlineLevel="0" collapsed="false">
      <c r="A8" s="9" t="s">
        <v>106</v>
      </c>
      <c r="B8" s="9"/>
      <c r="C8" s="9"/>
      <c r="D8" s="11"/>
      <c r="E8" s="11"/>
      <c r="F8" s="11"/>
      <c r="G8" s="11"/>
      <c r="H8" s="11"/>
    </row>
    <row r="9" customFormat="false" ht="15" hidden="false" customHeight="false" outlineLevel="0" collapsed="false">
      <c r="A9" s="5" t="s">
        <v>107</v>
      </c>
      <c r="B9" s="5"/>
      <c r="C9" s="5"/>
      <c r="D9" s="7"/>
      <c r="E9" s="7"/>
      <c r="F9" s="7"/>
      <c r="G9" s="7"/>
      <c r="H9" s="7"/>
    </row>
    <row r="10" customFormat="false" ht="15" hidden="false" customHeight="false" outlineLevel="0" collapsed="false">
      <c r="A10" s="9" t="s">
        <v>108</v>
      </c>
      <c r="B10" s="9"/>
      <c r="C10" s="9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5" t="s">
        <v>109</v>
      </c>
      <c r="B11" s="5"/>
      <c r="C11" s="5"/>
      <c r="D11" s="7"/>
      <c r="E11" s="7"/>
      <c r="F11" s="7"/>
      <c r="G11" s="7"/>
      <c r="H11" s="7"/>
    </row>
    <row r="12" customFormat="false" ht="15" hidden="false" customHeight="false" outlineLevel="0" collapsed="false">
      <c r="A12" s="9" t="s">
        <v>110</v>
      </c>
      <c r="B12" s="9"/>
      <c r="C12" s="9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5" t="s">
        <v>111</v>
      </c>
      <c r="B13" s="5"/>
      <c r="C13" s="5"/>
      <c r="D13" s="7"/>
      <c r="E13" s="7"/>
      <c r="F13" s="7"/>
      <c r="G13" s="7"/>
      <c r="H13" s="7"/>
    </row>
    <row r="14" customFormat="false" ht="15" hidden="false" customHeight="false" outlineLevel="0" collapsed="false">
      <c r="A14" s="13"/>
      <c r="B14" s="13" t="s">
        <v>112</v>
      </c>
      <c r="C14" s="13"/>
      <c r="D14" s="13" t="s">
        <v>113</v>
      </c>
      <c r="E14" s="13"/>
      <c r="F14" s="13" t="s">
        <v>114</v>
      </c>
      <c r="G14" s="13" t="s">
        <v>115</v>
      </c>
      <c r="H14" s="13" t="s">
        <v>116</v>
      </c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12" t="s">
        <v>117</v>
      </c>
      <c r="B16" s="12"/>
      <c r="C16" s="12"/>
      <c r="D16" s="12"/>
      <c r="E16" s="12"/>
      <c r="F16" s="12"/>
      <c r="G16" s="12"/>
      <c r="H16" s="12"/>
    </row>
    <row r="17" customFormat="false" ht="26.85" hidden="false" customHeight="false" outlineLevel="0" collapsed="false">
      <c r="A17" s="4" t="s">
        <v>3</v>
      </c>
      <c r="B17" s="4" t="s">
        <v>118</v>
      </c>
      <c r="C17" s="4" t="s">
        <v>119</v>
      </c>
      <c r="D17" s="4" t="s">
        <v>120</v>
      </c>
      <c r="E17" s="4" t="s">
        <v>121</v>
      </c>
      <c r="F17" s="4" t="s">
        <v>122</v>
      </c>
      <c r="G17" s="4" t="s">
        <v>123</v>
      </c>
      <c r="H17" s="4" t="s">
        <v>124</v>
      </c>
    </row>
    <row r="18" customFormat="false" ht="15" hidden="false" customHeight="false" outlineLevel="0" collapsed="false">
      <c r="A18" s="9" t="s">
        <v>104</v>
      </c>
      <c r="B18" s="9"/>
      <c r="C18" s="9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5" t="s">
        <v>105</v>
      </c>
      <c r="B19" s="5"/>
      <c r="C19" s="5"/>
      <c r="D19" s="7"/>
      <c r="E19" s="7"/>
      <c r="F19" s="7"/>
      <c r="G19" s="7"/>
      <c r="H19" s="7"/>
    </row>
    <row r="20" customFormat="false" ht="15" hidden="false" customHeight="false" outlineLevel="0" collapsed="false">
      <c r="A20" s="9" t="s">
        <v>106</v>
      </c>
      <c r="B20" s="9"/>
      <c r="C20" s="9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5" t="s">
        <v>107</v>
      </c>
      <c r="B21" s="5"/>
      <c r="C21" s="5"/>
      <c r="D21" s="7"/>
      <c r="E21" s="7"/>
      <c r="F21" s="7"/>
      <c r="G21" s="7"/>
      <c r="H21" s="7"/>
    </row>
    <row r="22" customFormat="false" ht="15" hidden="false" customHeight="false" outlineLevel="0" collapsed="false">
      <c r="A22" s="9" t="s">
        <v>108</v>
      </c>
      <c r="B22" s="9"/>
      <c r="C22" s="9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5" t="s">
        <v>109</v>
      </c>
      <c r="B23" s="5"/>
      <c r="C23" s="5"/>
      <c r="D23" s="7"/>
      <c r="E23" s="7"/>
      <c r="F23" s="7"/>
      <c r="G23" s="7"/>
      <c r="H23" s="7"/>
    </row>
    <row r="24" customFormat="false" ht="15" hidden="false" customHeight="false" outlineLevel="0" collapsed="false">
      <c r="A24" s="9" t="s">
        <v>110</v>
      </c>
      <c r="B24" s="9"/>
      <c r="C24" s="9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5" t="s">
        <v>111</v>
      </c>
      <c r="B25" s="5"/>
      <c r="C25" s="5"/>
      <c r="D25" s="7"/>
      <c r="E25" s="7"/>
      <c r="F25" s="7"/>
      <c r="G25" s="7"/>
      <c r="H25" s="7"/>
    </row>
    <row r="26" customFormat="false" ht="15" hidden="false" customHeight="false" outlineLevel="0" collapsed="false">
      <c r="A26" s="13"/>
      <c r="B26" s="13" t="s">
        <v>125</v>
      </c>
      <c r="C26" s="13" t="s">
        <v>126</v>
      </c>
      <c r="D26" s="13" t="s">
        <v>127</v>
      </c>
      <c r="E26" s="13" t="s">
        <v>128</v>
      </c>
      <c r="F26" s="13" t="s">
        <v>129</v>
      </c>
      <c r="G26" s="13" t="s">
        <v>130</v>
      </c>
      <c r="H26" s="13" t="s">
        <v>126</v>
      </c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5" hidden="false" customHeight="false" outlineLevel="0" collapsed="false">
      <c r="A28" s="12" t="s">
        <v>131</v>
      </c>
      <c r="B28" s="12"/>
      <c r="C28" s="12"/>
      <c r="D28" s="12"/>
      <c r="E28" s="12"/>
      <c r="F28" s="12"/>
      <c r="G28" s="12"/>
      <c r="H28" s="12"/>
    </row>
    <row r="29" customFormat="false" ht="26.85" hidden="false" customHeight="false" outlineLevel="0" collapsed="false">
      <c r="A29" s="4" t="s">
        <v>3</v>
      </c>
      <c r="B29" s="4" t="s">
        <v>46</v>
      </c>
      <c r="C29" s="4" t="s">
        <v>132</v>
      </c>
      <c r="D29" s="4" t="s">
        <v>118</v>
      </c>
      <c r="E29" s="4" t="s">
        <v>133</v>
      </c>
      <c r="F29" s="4" t="s">
        <v>134</v>
      </c>
      <c r="G29" s="4" t="s">
        <v>135</v>
      </c>
      <c r="H29" s="4" t="s">
        <v>136</v>
      </c>
    </row>
    <row r="30" customFormat="false" ht="15" hidden="false" customHeight="false" outlineLevel="0" collapsed="false">
      <c r="A30" s="9" t="s">
        <v>137</v>
      </c>
      <c r="B30" s="9"/>
      <c r="C30" s="9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5" t="s">
        <v>138</v>
      </c>
      <c r="B31" s="5"/>
      <c r="C31" s="5"/>
      <c r="D31" s="7"/>
      <c r="E31" s="7"/>
      <c r="F31" s="7"/>
      <c r="G31" s="7"/>
      <c r="H31" s="7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A33" s="12" t="s">
        <v>139</v>
      </c>
      <c r="B33" s="12"/>
      <c r="C33" s="12"/>
      <c r="D33" s="12"/>
      <c r="E33" s="12"/>
      <c r="F33" s="12"/>
      <c r="G33" s="12"/>
      <c r="H33" s="12"/>
    </row>
    <row r="34" customFormat="false" ht="39.55" hidden="false" customHeight="false" outlineLevel="0" collapsed="false">
      <c r="A34" s="4" t="s">
        <v>3</v>
      </c>
      <c r="B34" s="4" t="s">
        <v>140</v>
      </c>
      <c r="C34" s="4" t="s">
        <v>141</v>
      </c>
      <c r="D34" s="4" t="s">
        <v>142</v>
      </c>
      <c r="E34" s="3"/>
      <c r="F34" s="3"/>
      <c r="G34" s="3"/>
      <c r="H34" s="3"/>
    </row>
    <row r="35" customFormat="false" ht="15" hidden="false" customHeight="false" outlineLevel="0" collapsed="false">
      <c r="A35" s="5"/>
      <c r="B35" s="5"/>
      <c r="C35" s="5"/>
      <c r="D35" s="7"/>
      <c r="E35" s="3"/>
      <c r="F35" s="3"/>
      <c r="G35" s="3"/>
      <c r="H35" s="3"/>
    </row>
    <row r="36" customFormat="false" ht="15" hidden="false" customHeight="false" outlineLevel="0" collapsed="false">
      <c r="A36" s="9"/>
      <c r="B36" s="9"/>
      <c r="C36" s="9"/>
      <c r="D36" s="11"/>
      <c r="E36" s="3"/>
      <c r="F36" s="3"/>
      <c r="G36" s="3"/>
      <c r="H36" s="3"/>
    </row>
    <row r="37" customFormat="false" ht="15" hidden="false" customHeight="false" outlineLevel="0" collapsed="false">
      <c r="A37" s="5"/>
      <c r="B37" s="5"/>
      <c r="C37" s="5"/>
      <c r="D37" s="7"/>
      <c r="E37" s="3"/>
      <c r="F37" s="3"/>
      <c r="G37" s="3"/>
      <c r="H37" s="3"/>
    </row>
    <row r="38" customFormat="false" ht="15" hidden="false" customHeight="false" outlineLevel="0" collapsed="false">
      <c r="A38" s="9"/>
      <c r="B38" s="9"/>
      <c r="C38" s="9"/>
      <c r="D38" s="11"/>
      <c r="E38" s="3"/>
      <c r="F38" s="3"/>
      <c r="G38" s="3"/>
      <c r="H38" s="3"/>
    </row>
    <row r="39" customFormat="false" ht="15" hidden="false" customHeight="false" outlineLevel="0" collapsed="false">
      <c r="A39" s="5"/>
      <c r="B39" s="5"/>
      <c r="C39" s="5"/>
      <c r="D39" s="7"/>
      <c r="E39" s="3"/>
      <c r="F39" s="3"/>
      <c r="G39" s="3"/>
      <c r="H39" s="3"/>
    </row>
    <row r="40" customFormat="false" ht="15" hidden="false" customHeight="false" outlineLevel="0" collapsed="false">
      <c r="A40" s="9"/>
      <c r="B40" s="9"/>
      <c r="C40" s="9"/>
      <c r="D40" s="11"/>
      <c r="E40" s="3"/>
      <c r="F40" s="3"/>
      <c r="G40" s="3"/>
      <c r="H40" s="3"/>
    </row>
    <row r="41" customFormat="false" ht="15" hidden="false" customHeight="false" outlineLevel="0" collapsed="false">
      <c r="A41" s="5"/>
      <c r="B41" s="5"/>
      <c r="C41" s="5"/>
      <c r="D41" s="7"/>
      <c r="E41" s="3"/>
      <c r="F41" s="3"/>
      <c r="G41" s="3"/>
      <c r="H41" s="3"/>
    </row>
    <row r="42" customFormat="false" ht="15" hidden="false" customHeight="false" outlineLevel="0" collapsed="false">
      <c r="A42" s="9"/>
      <c r="B42" s="9"/>
      <c r="C42" s="9"/>
      <c r="D42" s="11"/>
      <c r="E42" s="3"/>
      <c r="F42" s="3"/>
      <c r="G42" s="3"/>
      <c r="H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</sheetData>
  <mergeCells count="6">
    <mergeCell ref="A1:H1"/>
    <mergeCell ref="A2:H2"/>
    <mergeCell ref="A4:H4"/>
    <mergeCell ref="A16:H16"/>
    <mergeCell ref="A28:H28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33EA"/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8" min="7" style="0" width="35"/>
  </cols>
  <sheetData>
    <row r="1" customFormat="false" ht="17.35" hidden="false" customHeight="false" outlineLevel="0" collapsed="false">
      <c r="A1" s="1" t="s">
        <v>143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6.85" hidden="false" customHeight="false" outlineLevel="0" collapsed="false">
      <c r="A4" s="4" t="s">
        <v>2</v>
      </c>
      <c r="B4" s="4" t="s">
        <v>145</v>
      </c>
      <c r="C4" s="4" t="s">
        <v>52</v>
      </c>
      <c r="D4" s="4" t="s">
        <v>146</v>
      </c>
      <c r="E4" s="4" t="s">
        <v>147</v>
      </c>
      <c r="F4" s="4" t="s">
        <v>148</v>
      </c>
      <c r="G4" s="4" t="s">
        <v>149</v>
      </c>
      <c r="H4" s="4" t="s">
        <v>150</v>
      </c>
    </row>
    <row r="5" customFormat="false" ht="23.85" hidden="false" customHeight="false" outlineLevel="0" collapsed="false">
      <c r="A5" s="5"/>
      <c r="B5" s="5"/>
      <c r="C5" s="5"/>
      <c r="D5" s="7"/>
      <c r="E5" s="7"/>
      <c r="F5" s="8" t="s">
        <v>151</v>
      </c>
      <c r="G5" s="7"/>
      <c r="H5" s="7"/>
    </row>
    <row r="6" customFormat="false" ht="15" hidden="false" customHeight="false" outlineLevel="0" collapsed="false">
      <c r="A6" s="9"/>
      <c r="B6" s="9"/>
      <c r="C6" s="9"/>
      <c r="D6" s="11"/>
      <c r="E6" s="11"/>
      <c r="F6" s="11"/>
      <c r="G6" s="11"/>
      <c r="H6" s="11"/>
    </row>
    <row r="7" customFormat="false" ht="15" hidden="false" customHeight="false" outlineLevel="0" collapsed="false">
      <c r="A7" s="5"/>
      <c r="B7" s="5"/>
      <c r="C7" s="5"/>
      <c r="D7" s="7"/>
      <c r="E7" s="7"/>
      <c r="F7" s="7"/>
      <c r="G7" s="7"/>
      <c r="H7" s="7"/>
    </row>
    <row r="8" customFormat="false" ht="15" hidden="false" customHeight="false" outlineLevel="0" collapsed="false">
      <c r="A8" s="9"/>
      <c r="B8" s="9"/>
      <c r="C8" s="9"/>
      <c r="D8" s="11"/>
      <c r="E8" s="11"/>
      <c r="F8" s="11"/>
      <c r="G8" s="11"/>
      <c r="H8" s="11"/>
    </row>
    <row r="9" customFormat="false" ht="15" hidden="false" customHeight="false" outlineLevel="0" collapsed="false">
      <c r="A9" s="5"/>
      <c r="B9" s="5"/>
      <c r="C9" s="5"/>
      <c r="D9" s="7"/>
      <c r="E9" s="7"/>
      <c r="F9" s="7"/>
      <c r="G9" s="7"/>
      <c r="H9" s="7"/>
    </row>
    <row r="10" customFormat="false" ht="15" hidden="false" customHeight="false" outlineLevel="0" collapsed="false">
      <c r="A10" s="9"/>
      <c r="B10" s="9"/>
      <c r="C10" s="9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5"/>
      <c r="B11" s="5"/>
      <c r="C11" s="5"/>
      <c r="D11" s="7"/>
      <c r="E11" s="7"/>
      <c r="F11" s="7"/>
      <c r="G11" s="7"/>
      <c r="H11" s="7"/>
    </row>
    <row r="12" customFormat="false" ht="15" hidden="false" customHeight="false" outlineLevel="0" collapsed="false">
      <c r="A12" s="9"/>
      <c r="B12" s="9"/>
      <c r="C12" s="9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5"/>
      <c r="B13" s="5"/>
      <c r="C13" s="5"/>
      <c r="D13" s="7"/>
      <c r="E13" s="7"/>
      <c r="F13" s="7"/>
      <c r="G13" s="7"/>
      <c r="H13" s="7"/>
    </row>
    <row r="14" customFormat="false" ht="15" hidden="false" customHeight="false" outlineLevel="0" collapsed="false">
      <c r="A14" s="9"/>
      <c r="B14" s="9"/>
      <c r="C14" s="9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5"/>
      <c r="B15" s="5"/>
      <c r="C15" s="5"/>
      <c r="D15" s="7"/>
      <c r="E15" s="7"/>
      <c r="F15" s="7"/>
      <c r="G15" s="7"/>
      <c r="H15" s="7"/>
    </row>
    <row r="16" customFormat="false" ht="15" hidden="false" customHeight="false" outlineLevel="0" collapsed="false">
      <c r="A16" s="9"/>
      <c r="B16" s="9"/>
      <c r="C16" s="9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5"/>
      <c r="B17" s="5"/>
      <c r="C17" s="5"/>
      <c r="D17" s="7"/>
      <c r="E17" s="7"/>
      <c r="F17" s="7"/>
      <c r="G17" s="7"/>
      <c r="H17" s="7"/>
    </row>
    <row r="18" customFormat="false" ht="15" hidden="false" customHeight="false" outlineLevel="0" collapsed="false">
      <c r="A18" s="9"/>
      <c r="B18" s="9"/>
      <c r="C18" s="9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5"/>
      <c r="B19" s="5"/>
      <c r="C19" s="5"/>
      <c r="D19" s="7"/>
      <c r="E19" s="7"/>
      <c r="F19" s="7"/>
      <c r="G19" s="7"/>
      <c r="H19" s="7"/>
    </row>
    <row r="20" customFormat="false" ht="15" hidden="false" customHeight="false" outlineLevel="0" collapsed="false">
      <c r="A20" s="9"/>
      <c r="B20" s="9"/>
      <c r="C20" s="9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5"/>
      <c r="B21" s="5"/>
      <c r="C21" s="5"/>
      <c r="D21" s="7"/>
      <c r="E21" s="7"/>
      <c r="F21" s="7"/>
      <c r="G21" s="7"/>
      <c r="H21" s="7"/>
    </row>
    <row r="22" customFormat="false" ht="15" hidden="false" customHeight="false" outlineLevel="0" collapsed="false">
      <c r="A22" s="9"/>
      <c r="B22" s="9"/>
      <c r="C22" s="9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5"/>
      <c r="B23" s="5"/>
      <c r="C23" s="5"/>
      <c r="D23" s="7"/>
      <c r="E23" s="7"/>
      <c r="F23" s="7"/>
      <c r="G23" s="7"/>
      <c r="H23" s="7"/>
    </row>
    <row r="24" customFormat="false" ht="15" hidden="false" customHeight="false" outlineLevel="0" collapsed="false">
      <c r="A24" s="9"/>
      <c r="B24" s="9"/>
      <c r="C24" s="9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5"/>
      <c r="B25" s="5"/>
      <c r="C25" s="5"/>
      <c r="D25" s="7"/>
      <c r="E25" s="7"/>
      <c r="F25" s="7"/>
      <c r="G25" s="7"/>
      <c r="H25" s="7"/>
    </row>
    <row r="26" customFormat="false" ht="15" hidden="false" customHeight="false" outlineLevel="0" collapsed="false">
      <c r="A26" s="9"/>
      <c r="B26" s="9"/>
      <c r="C26" s="9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5"/>
      <c r="B27" s="5"/>
      <c r="C27" s="5"/>
      <c r="D27" s="7"/>
      <c r="E27" s="7"/>
      <c r="F27" s="7"/>
      <c r="G27" s="7"/>
      <c r="H27" s="7"/>
    </row>
    <row r="28" customFormat="false" ht="15" hidden="false" customHeight="false" outlineLevel="0" collapsed="false">
      <c r="A28" s="9"/>
      <c r="B28" s="9"/>
      <c r="C28" s="9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5"/>
      <c r="B29" s="5"/>
      <c r="C29" s="5"/>
      <c r="D29" s="7"/>
      <c r="E29" s="7"/>
      <c r="F29" s="7"/>
      <c r="G29" s="7"/>
      <c r="H29" s="7"/>
    </row>
    <row r="30" customFormat="false" ht="15" hidden="false" customHeight="false" outlineLevel="0" collapsed="false">
      <c r="A30" s="9"/>
      <c r="B30" s="9"/>
      <c r="C30" s="9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5"/>
      <c r="B31" s="5"/>
      <c r="C31" s="5"/>
      <c r="D31" s="7"/>
      <c r="E31" s="7"/>
      <c r="F31" s="7"/>
      <c r="G31" s="7"/>
      <c r="H31" s="7"/>
    </row>
    <row r="32" customFormat="false" ht="15" hidden="false" customHeight="false" outlineLevel="0" collapsed="false">
      <c r="A32" s="9"/>
      <c r="B32" s="9"/>
      <c r="C32" s="9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5"/>
      <c r="B33" s="5"/>
      <c r="C33" s="5"/>
      <c r="D33" s="7"/>
      <c r="E33" s="7"/>
      <c r="F33" s="7"/>
      <c r="G33" s="7"/>
      <c r="H33" s="7"/>
    </row>
    <row r="34" customFormat="false" ht="15" hidden="false" customHeight="false" outlineLevel="0" collapsed="false">
      <c r="A34" s="9"/>
      <c r="B34" s="9"/>
      <c r="C34" s="9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5"/>
      <c r="B35" s="5"/>
      <c r="C35" s="5"/>
      <c r="D35" s="7"/>
      <c r="E35" s="7"/>
      <c r="F35" s="7"/>
      <c r="G35" s="7"/>
      <c r="H35" s="7"/>
    </row>
    <row r="36" customFormat="false" ht="15" hidden="false" customHeight="false" outlineLevel="0" collapsed="false">
      <c r="A36" s="9"/>
      <c r="B36" s="9"/>
      <c r="C36" s="9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5"/>
      <c r="B37" s="5"/>
      <c r="C37" s="5"/>
      <c r="D37" s="7"/>
      <c r="E37" s="7"/>
      <c r="F37" s="7"/>
      <c r="G37" s="7"/>
      <c r="H37" s="7"/>
    </row>
    <row r="38" customFormat="false" ht="15" hidden="false" customHeight="false" outlineLevel="0" collapsed="false">
      <c r="A38" s="9"/>
      <c r="B38" s="9"/>
      <c r="C38" s="9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5"/>
      <c r="B39" s="5"/>
      <c r="C39" s="5"/>
      <c r="D39" s="7"/>
      <c r="E39" s="7"/>
      <c r="F39" s="7"/>
      <c r="G39" s="7"/>
      <c r="H39" s="7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2026-02-25T19:43:34Z</dcterms:created>
  <dc:creator>openpyxl</dc:creator>
  <dc:description/>
  <dc:language>en-US</dc:language>
  <cp:lastModifiedBy/>
  <dcterms:modified xsi:type="dcterms:W3CDTF">2026-02-25T19:43:35Z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